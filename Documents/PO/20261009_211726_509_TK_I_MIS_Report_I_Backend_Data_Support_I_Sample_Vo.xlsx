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tabRatio="925"/>
  </bookViews>
  <sheets>
    <sheet name="Consulting Dept." sheetId="28" r:id="rId1"/>
    <sheet name="Graphs(Q2 &amp; 3)" sheetId="27" r:id="rId2"/>
    <sheet name="Graphs (Q4)" sheetId="30" r:id="rId3"/>
    <sheet name="Q4 Off-boarding" sheetId="16" r:id="rId4"/>
    <sheet name="Q4 Data_AppSec" sheetId="10" r:id="rId5"/>
    <sheet name="Q4 Data_Mobile" sheetId="15" r:id="rId6"/>
    <sheet name="Q4 Data_Infra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<sst xmlns="http://schemas.openxmlformats.org/spreadsheetml/2006/main" count="1357" uniqueCount="363">
  <si>
    <t>Role Wise Count</t>
  </si>
  <si>
    <t>Dec</t>
  </si>
  <si>
    <t>Onsite</t>
  </si>
  <si>
    <t>Offsite</t>
  </si>
  <si>
    <t>Newly 
Onboarded</t>
  </si>
  <si>
    <t>Jul</t>
  </si>
  <si>
    <t>Aug</t>
  </si>
  <si>
    <t>Sep</t>
  </si>
  <si>
    <t>Oct</t>
  </si>
  <si>
    <t>Nov</t>
  </si>
  <si>
    <t>Total Auditors</t>
  </si>
  <si>
    <t>WBS Count-Total</t>
  </si>
  <si>
    <t>Team Members</t>
  </si>
  <si>
    <t>WBS Count-Onsite</t>
  </si>
  <si>
    <t>Jr. Lead</t>
  </si>
  <si>
    <t>WBS Count-Offsite</t>
  </si>
  <si>
    <t>Sr. Lead</t>
  </si>
  <si>
    <t>Teams</t>
  </si>
  <si>
    <t>Role Wise</t>
  </si>
  <si>
    <t>Q2</t>
  </si>
  <si>
    <t>Q3</t>
  </si>
  <si>
    <t>Team Strength</t>
  </si>
  <si>
    <t>Team Utilization %</t>
  </si>
  <si>
    <t>False Positive %</t>
  </si>
  <si>
    <t>Newly Onboarded</t>
  </si>
  <si>
    <t>TM</t>
  </si>
  <si>
    <t>Effective days</t>
  </si>
  <si>
    <t>Effort </t>
  </si>
  <si>
    <t>Capacity </t>
  </si>
  <si>
    <t>Sub-Types</t>
  </si>
  <si>
    <t>Total Team Size</t>
  </si>
  <si>
    <t>Total Team 
Size</t>
  </si>
  <si>
    <t>Total Onsite Team</t>
  </si>
  <si>
    <t>Offsite Team Count</t>
  </si>
  <si>
    <t>Customer Name</t>
  </si>
  <si>
    <t>SOW Count</t>
  </si>
  <si>
    <t>Remark</t>
  </si>
  <si>
    <t>Jul %</t>
  </si>
  <si>
    <t>Aug %</t>
  </si>
  <si>
    <t>Sep %</t>
  </si>
  <si>
    <t>Oct %</t>
  </si>
  <si>
    <t>Nov %</t>
  </si>
  <si>
    <t>Dec %</t>
  </si>
  <si>
    <t>Mob</t>
  </si>
  <si>
    <t>Infra-VA</t>
  </si>
  <si>
    <t>22 * 08 = 176</t>
  </si>
  <si>
    <t>7 days per app</t>
  </si>
  <si>
    <t>  25/App</t>
  </si>
  <si>
    <t>Offsite Team</t>
  </si>
  <si>
    <t>On-
Boarding</t>
  </si>
  <si>
    <t>Offsite 
Team</t>
  </si>
  <si>
    <t>Onsite TM</t>
  </si>
  <si>
    <t>Offsite TM</t>
  </si>
  <si>
    <t>Onsite - Billable</t>
  </si>
  <si>
    <t>ICICI Bank</t>
  </si>
  <si>
    <t>(Onsite)</t>
  </si>
  <si>
    <t>1 extra resource for handover only (Onsite)</t>
  </si>
  <si>
    <t>Appsec</t>
  </si>
  <si>
    <t>52 %</t>
  </si>
  <si>
    <t>57 %</t>
  </si>
  <si>
    <t>65 %</t>
  </si>
  <si>
    <t>45 %</t>
  </si>
  <si>
    <t>71 %</t>
  </si>
  <si>
    <t>5+ %</t>
  </si>
  <si>
    <t>API</t>
  </si>
  <si>
    <t>Infra-CA</t>
  </si>
  <si>
    <t>Off-
Boarding</t>
  </si>
  <si>
    <t>(63 %)</t>
  </si>
  <si>
    <t>(58 %)</t>
  </si>
  <si>
    <t>(56 %)</t>
  </si>
  <si>
    <t>(54 %)</t>
  </si>
  <si>
    <t>Onsite Leads</t>
  </si>
  <si>
    <t>Leads-Jr.</t>
  </si>
  <si>
    <t>Onsite - Non billable</t>
  </si>
  <si>
    <t>Yes Bank</t>
  </si>
  <si>
    <t>Mobile</t>
  </si>
  <si>
    <t>48 %</t>
  </si>
  <si>
    <t> 49 %</t>
  </si>
  <si>
    <t>26 %</t>
  </si>
  <si>
    <t>17 %</t>
  </si>
  <si>
    <t>47 %</t>
  </si>
  <si>
    <t>73 %</t>
  </si>
  <si>
    <t>02 %</t>
  </si>
  <si>
    <t>Web</t>
  </si>
  <si>
    <t>Infra-PT</t>
  </si>
  <si>
    <t>22 * 30 = 660</t>
  </si>
  <si>
    <t>94/App</t>
  </si>
  <si>
    <t>Onsite 
Team</t>
  </si>
  <si>
    <t>Leads-TL.</t>
  </si>
  <si>
    <t>Non billable
Resource Names</t>
  </si>
  <si>
    <t>RBL SCD :- Anand Jha
SBI-DevSecOps :- Vishal Warkhade
Kotak-DevSecOps :- Vaishnavi Patil</t>
  </si>
  <si>
    <t>Vishal W,
&amp;
Vaishnavi P.</t>
  </si>
  <si>
    <t>RBL Bank-VACA</t>
  </si>
  <si>
    <t>Infra</t>
  </si>
  <si>
    <t>50 %</t>
  </si>
  <si>
    <t> 67 %</t>
  </si>
  <si>
    <t> 61 %</t>
  </si>
  <si>
    <t>37 %</t>
  </si>
  <si>
    <t>40 %</t>
  </si>
  <si>
    <t>66 %</t>
  </si>
  <si>
    <t>Thick Client</t>
  </si>
  <si>
    <t>SCD</t>
  </si>
  <si>
    <t>Onsite Team</t>
  </si>
  <si>
    <t>(37 %)</t>
  </si>
  <si>
    <t>(42 %)</t>
  </si>
  <si>
    <t>(44 %)</t>
  </si>
  <si>
    <t>(46 %)</t>
  </si>
  <si>
    <t>Leads-PM.</t>
  </si>
  <si>
    <t>RBL Bank-AppSec</t>
  </si>
  <si>
    <t>Started from Aug (1 extra resource for handover only)</t>
  </si>
  <si>
    <t>Red Team</t>
  </si>
  <si>
    <t>100 %</t>
  </si>
  <si>
    <t>65 % </t>
  </si>
  <si>
    <t>70 %</t>
  </si>
  <si>
    <t>SCR</t>
  </si>
  <si>
    <t>Firewall Rulebase</t>
  </si>
  <si>
    <t>RBL Bank-Tenable</t>
  </si>
  <si>
    <t>Started from Sep (1 extra resource for handover only)</t>
  </si>
  <si>
    <t>51 %</t>
  </si>
  <si>
    <t>28 % </t>
  </si>
  <si>
    <t>93 %</t>
  </si>
  <si>
    <t>72 %</t>
  </si>
  <si>
    <t>20 %</t>
  </si>
  <si>
    <t>27 %</t>
  </si>
  <si>
    <t>01 %</t>
  </si>
  <si>
    <t>Non-Bilable </t>
  </si>
  <si>
    <t>10 Ips per day</t>
  </si>
  <si>
    <t>1,760/Ips</t>
  </si>
  <si>
    <t>RBL Bank-SCD Review</t>
  </si>
  <si>
    <t>1 non-billable (Onsite)</t>
  </si>
  <si>
    <t>1 non-billable (Onsite) (SCD &amp; Tenable mergged in Dec with billable)</t>
  </si>
  <si>
    <t>DevSecOps</t>
  </si>
  <si>
    <t>Data not collected</t>
  </si>
  <si>
    <t>77 %</t>
  </si>
  <si>
    <t>00 %</t>
  </si>
  <si>
    <t>Kotak Bank-DevSecOps</t>
  </si>
  <si>
    <t>Resource 
Boarding 
Details</t>
  </si>
  <si>
    <t>State Bank (DevSecOps)</t>
  </si>
  <si>
    <t>Squad-1 --&gt; 2R, </t>
  </si>
  <si>
    <t>On-boarding</t>
  </si>
  <si>
    <t>Liberty Insurance</t>
  </si>
  <si>
    <t>Newly onboared (Onsite)</t>
  </si>
  <si>
    <t>Appsec Team Count</t>
  </si>
  <si>
    <t>Off-boarding</t>
  </si>
  <si>
    <t>4 (+ 4)</t>
  </si>
  <si>
    <t>ISG - DevSecOps</t>
  </si>
  <si>
    <t>Appsec Utilization %</t>
  </si>
  <si>
    <t>Internal-DevSecOps -&gt; 2R</t>
  </si>
  <si>
    <t>ISG - Mixed Scope</t>
  </si>
  <si>
    <t>Mobile Team Count</t>
  </si>
  <si>
    <t>IDBI Bank</t>
  </si>
  <si>
    <t>Resource count increased from 5 to 8 (Onsite)</t>
  </si>
  <si>
    <t>Resource count increased from 5 to 8 in Aug (Onsite)</t>
  </si>
  <si>
    <t>Mobile Utilization %</t>
  </si>
  <si>
    <t>Role Wise Count</t>
  </si>
  <si>
    <t>IndusInd Bank (Mixed)</t>
  </si>
  <si>
    <t>1 extra is for taking handover in Aug (Onsite)</t>
  </si>
  <si>
    <t>Infra Team Count</t>
  </si>
  <si>
    <t>IndusInd Bank (Revamp)</t>
  </si>
  <si>
    <t>Project Completed (Onsite)</t>
  </si>
  <si>
    <t>Infra Utilization %</t>
  </si>
  <si>
    <t>NPCI</t>
  </si>
  <si>
    <t>Scope based project (Onsite)</t>
  </si>
  <si>
    <t>03 extra resources as it’s a scope based project (Onsite)</t>
  </si>
  <si>
    <t>VFS</t>
  </si>
  <si>
    <t>Project Closed in Aug</t>
  </si>
  <si>
    <t>Total Count</t>
  </si>
  <si>
    <t>April</t>
  </si>
  <si>
    <t>Effort</t>
  </si>
  <si>
    <t>Monthly Capacity</t>
  </si>
  <si>
    <t>22* 02 = 44</t>
  </si>
  <si>
    <t>06/App</t>
  </si>
  <si>
    <t>Total Offsite Team</t>
  </si>
  <si>
    <t>22 * 21 = 462</t>
  </si>
  <si>
    <t>66/App</t>
  </si>
  <si>
    <t>Offsite Jr Leads</t>
  </si>
  <si>
    <t>Offsite Leads</t>
  </si>
  <si>
    <t>Offsite PM</t>
  </si>
  <si>
    <t>22 * 09 = 198</t>
  </si>
  <si>
    <t>1,980/Ips</t>
  </si>
  <si>
    <t>Red-T</t>
  </si>
  <si>
    <t>-</t>
  </si>
  <si>
    <t>Project Type</t>
  </si>
  <si>
    <t>Total</t>
  </si>
  <si>
    <t>Non billable</t>
  </si>
  <si>
    <t>RBL SCD :- Anand Jha</t>
  </si>
  <si>
    <t>Vishal W,</t>
  </si>
  <si>
    <t>SBI-DevSecOps :- Vishal Warkhade</t>
  </si>
  <si>
    <t>&amp;</t>
  </si>
  <si>
    <t>Resource Names</t>
  </si>
  <si>
    <t>Kotak-DevSecOps :- Vaishnavi Patil</t>
  </si>
  <si>
    <t>Vaishnavi P.</t>
  </si>
  <si>
    <t>Team Name</t>
  </si>
  <si>
    <t>Q2
&amp;
Q3</t>
  </si>
  <si>
    <t>2 extra resource for handover only (Onsite)</t>
  </si>
  <si>
    <t>Non-Bilable</t>
  </si>
  <si>
    <t>Squad-1 --&gt; 2R,</t>
  </si>
  <si>
    <t>04 extra (it’s a scope based project &amp; for handover also) (Onsite)</t>
  </si>
  <si>
    <t>Q4</t>
  </si>
  <si>
    <t>Jan</t>
  </si>
  <si>
    <t>Feb</t>
  </si>
  <si>
    <t>Mar</t>
  </si>
  <si>
    <t>Team</t>
  </si>
  <si>
    <t>Jan %</t>
  </si>
  <si>
    <t>Feb %</t>
  </si>
  <si>
    <t>Mar %</t>
  </si>
  <si>
    <t>On-Boarding</t>
  </si>
  <si>
    <t>Offsite Team</t>
  </si>
  <si>
    <t>1 extra for handover (Onsite)</t>
  </si>
  <si>
    <t>05 %</t>
  </si>
  <si>
    <t>Off-Boarding</t>
  </si>
  <si>
    <t>Onsite Team</t>
  </si>
  <si>
    <t>Leads - Jr.</t>
  </si>
  <si>
    <t>Leads - TL.</t>
  </si>
  <si>
    <t>Vaishnavi Patil, 
Pranav Rane,
Sanchit Gaikwad</t>
  </si>
  <si>
    <t>Leads - PM.</t>
  </si>
  <si>
    <t>80%%</t>
  </si>
  <si>
    <t>RBL Bank-Tenable &amp; SCD</t>
  </si>
  <si>
    <t>Non-Bilable
(Squad-1 --&gt; 2R,)</t>
  </si>
  <si>
    <t>(Anup Macchi, Mayur Patil)</t>
  </si>
  <si>
    <t>ABCD &amp; ABFS</t>
  </si>
  <si>
    <t>In Jan only ABSCD-2 (Onsite) Then after ABCD-2 &amp; ABFS-1</t>
  </si>
  <si>
    <t>All are under training</t>
  </si>
  <si>
    <t>1 non-billable &amp; 1 extra for handover (Onsite)</t>
  </si>
  <si>
    <t>Total Team</t>
  </si>
  <si>
    <t>Extra for handover (Onsite)</t>
  </si>
  <si>
    <t>05 extra (it’s a scope based project &amp; for handover also) (Onsite)</t>
  </si>
  <si>
    <t>Maulik Goti</t>
  </si>
  <si>
    <t>Nitish Rai</t>
  </si>
  <si>
    <t>Vaishnavi Halankar</t>
  </si>
  <si>
    <t>Dolly Pandit</t>
  </si>
  <si>
    <t>Krishna Chauhan</t>
  </si>
  <si>
    <t>Shubham Patil</t>
  </si>
  <si>
    <t>1-Apr-25</t>
  </si>
  <si>
    <t>Priyankar Pawar</t>
  </si>
  <si>
    <t>Anjali Kumari</t>
  </si>
  <si>
    <t>Kajal Halde</t>
  </si>
  <si>
    <t>Mohin Suiwala</t>
  </si>
  <si>
    <t>Harsh Bhanushali</t>
  </si>
  <si>
    <t>Jay Trivedi</t>
  </si>
  <si>
    <t>Harshika Verma</t>
  </si>
  <si>
    <t>4/14/2025 (TM)</t>
  </si>
  <si>
    <t>Sayli Salvi</t>
  </si>
  <si>
    <t>Vikas Kumar</t>
  </si>
  <si>
    <t>Suraj Mogal</t>
  </si>
  <si>
    <t>Rakesh Sinalkar</t>
  </si>
  <si>
    <t xml:space="preserve">Mrunal Yadav  </t>
  </si>
  <si>
    <t xml:space="preserve">Harshal Desai  </t>
  </si>
  <si>
    <t>Harshita Singh</t>
  </si>
  <si>
    <t xml:space="preserve">Musab Shaikh </t>
  </si>
  <si>
    <t>Vishakha Kale</t>
  </si>
  <si>
    <t>Amit Negi</t>
  </si>
  <si>
    <t>Prathamesh Chindarkar</t>
  </si>
  <si>
    <t>Bijal Nandu</t>
  </si>
  <si>
    <t>Inter-Dept-Shift</t>
  </si>
  <si>
    <t>Jeevan Gunjawate</t>
  </si>
  <si>
    <t>Paresh Suthar</t>
  </si>
  <si>
    <t>Prathamesh Lambat</t>
  </si>
  <si>
    <t>18 Sept 2025</t>
  </si>
  <si>
    <t>Pratik Kathe</t>
  </si>
  <si>
    <t>19 Sept 2025</t>
  </si>
  <si>
    <t>Pranav Shirvalkar</t>
  </si>
  <si>
    <t>26 Sept 2025</t>
  </si>
  <si>
    <t>Jebaselvan Nadar</t>
  </si>
  <si>
    <t>Abdullah Shaikh</t>
  </si>
  <si>
    <t>Ibrahim Khan</t>
  </si>
  <si>
    <t>Abbas Shaikh</t>
  </si>
  <si>
    <t>Talha Sayed</t>
  </si>
  <si>
    <t>Bhavesh Singh</t>
  </si>
  <si>
    <t>Omkar Bhoir</t>
  </si>
  <si>
    <t>Mohan Varadkar</t>
  </si>
  <si>
    <t>Om Dube</t>
  </si>
  <si>
    <t>Shubham Shesh</t>
  </si>
  <si>
    <t>Omkar Chorghe</t>
  </si>
  <si>
    <t>Pruthvi Prajapati</t>
  </si>
  <si>
    <t>Nilesh Gujetee</t>
  </si>
  <si>
    <t>Rameshwar Thorbole</t>
  </si>
  <si>
    <t>Shubham Gupta</t>
  </si>
  <si>
    <t>Ashish Jaiswal</t>
  </si>
  <si>
    <t>Shruti Kamble</t>
  </si>
  <si>
    <t>Aniket Kamble</t>
  </si>
  <si>
    <t>Omkar Barkade</t>
  </si>
  <si>
    <t>Aditya Amol Chavan</t>
  </si>
  <si>
    <t>Pradnya Sonavale</t>
  </si>
  <si>
    <t>Shraddha Tandel</t>
  </si>
  <si>
    <t>Akanksha Dhanawade</t>
  </si>
  <si>
    <t>Pranav Rane</t>
  </si>
  <si>
    <t>May</t>
  </si>
  <si>
    <t>June</t>
  </si>
  <si>
    <t>Employee
Name</t>
  </si>
  <si>
    <t>Calender
Days</t>
  </si>
  <si>
    <t>On
Leave</t>
  </si>
  <si>
    <t>Total Attendance
Count</t>
  </si>
  <si>
    <t>Free
Count</t>
  </si>
  <si>
    <t>Hold
Count</t>
  </si>
  <si>
    <t>Exit
Count</t>
  </si>
  <si>
    <t>Actual
Worked
Days</t>
  </si>
  <si>
    <t>Rohan Dahibavkar</t>
  </si>
  <si>
    <t>Anuj Gupta</t>
  </si>
  <si>
    <t>Prathamesh Jadhav</t>
  </si>
  <si>
    <t>Saikiran Kunjathan</t>
  </si>
  <si>
    <t>Rehan Khan</t>
  </si>
  <si>
    <t>Harshal Desai</t>
  </si>
  <si>
    <t>Prathamesh Randive</t>
  </si>
  <si>
    <t>Chandrashekar Elluri</t>
  </si>
  <si>
    <t>Vivek Maurya</t>
  </si>
  <si>
    <t>Sumit Gupta</t>
  </si>
  <si>
    <t>Abhishek Manjrekar</t>
  </si>
  <si>
    <t>Rahul Patel</t>
  </si>
  <si>
    <t>Zishan Khan</t>
  </si>
  <si>
    <t>Bazil Ansari</t>
  </si>
  <si>
    <t>Nawaz Hakim</t>
  </si>
  <si>
    <t>Deekshitha Boya</t>
  </si>
  <si>
    <t>Ankita Chavan</t>
  </si>
  <si>
    <t>Junaid Jahagirdar</t>
  </si>
  <si>
    <t>Roshan Jadav</t>
  </si>
  <si>
    <t>Vikesh Sagwekar</t>
  </si>
  <si>
    <t>Anup Macchi</t>
  </si>
  <si>
    <r>
      <rPr>
        <sz val="10"/>
        <color rgb="FF000000"/>
        <rFont val="Calibri"/>
        <charset val="1"/>
      </rPr>
      <t>Akshay</t>
    </r>
    <r>
      <rPr>
        <sz val="10"/>
        <color rgb="FF000000"/>
        <rFont val="Calibri"/>
        <charset val="1"/>
      </rPr>
      <t xml:space="preserve">  </t>
    </r>
    <r>
      <rPr>
        <sz val="10"/>
        <color rgb="FF000000"/>
        <rFont val="Calibri"/>
        <charset val="1"/>
      </rPr>
      <t>Tavhare</t>
    </r>
  </si>
  <si>
    <t>Tanvi Pandit</t>
  </si>
  <si>
    <t>Gopiraju Gurrapusala</t>
  </si>
  <si>
    <t>Pranay Pokharkar</t>
  </si>
  <si>
    <t>Mayur Patil</t>
  </si>
  <si>
    <t>Pranay Maske</t>
  </si>
  <si>
    <t>Thirumal Nadar</t>
  </si>
  <si>
    <t>Vasudha Gupta</t>
  </si>
  <si>
    <t>Neha Sarak</t>
  </si>
  <si>
    <t>Vishal Chauhan</t>
  </si>
  <si>
    <t>Rakesh Kumawat</t>
  </si>
  <si>
    <t>Deepika More</t>
  </si>
  <si>
    <t>Gagan Pisal</t>
  </si>
  <si>
    <t>Ayushi Yadav</t>
  </si>
  <si>
    <t>Siddhi Jadhav</t>
  </si>
  <si>
    <t>Calender Days</t>
  </si>
  <si>
    <t>Leave</t>
  </si>
  <si>
    <t>Total Attendance</t>
  </si>
  <si>
    <t>Free</t>
  </si>
  <si>
    <t>Hold</t>
  </si>
  <si>
    <t>Exit</t>
  </si>
  <si>
    <t>Worked
days</t>
  </si>
  <si>
    <t>Utilization %</t>
  </si>
  <si>
    <t>Excluded due to  his exit</t>
  </si>
  <si>
    <t>Ritesh Rai</t>
  </si>
  <si>
    <t>Sushil Verma</t>
  </si>
  <si>
    <t>Abhishek Sawant</t>
  </si>
  <si>
    <t>Khimesh Choudhary</t>
  </si>
  <si>
    <t>Nikhil Patel</t>
  </si>
  <si>
    <t>Abhishek Jha</t>
  </si>
  <si>
    <t>Surya Sugumar</t>
  </si>
  <si>
    <t>Rahul Bamane</t>
  </si>
  <si>
    <t>Excluded as suggested by Radhesh sir due to his suspention.</t>
  </si>
  <si>
    <t>Pratik Tiwari</t>
  </si>
  <si>
    <t>Mohammed Umair Kadri</t>
  </si>
  <si>
    <t>Madni Faruquee</t>
  </si>
  <si>
    <t>Aditi Naik</t>
  </si>
  <si>
    <t>Ajay Aravind</t>
  </si>
  <si>
    <t>Adhish Gaikwad</t>
  </si>
  <si>
    <t>Deepesh Patil</t>
  </si>
  <si>
    <t>Aarti Mane</t>
  </si>
  <si>
    <t>Akash Indalkar</t>
  </si>
  <si>
    <t>Shubh Parmar</t>
  </si>
  <si>
    <t>Omkar Rane</t>
  </si>
  <si>
    <t>Mrunal Yadav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</si>
</sst>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7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b/>
      <sz val="10"/>
      <color rgb="FFFF0000"/>
      <name val="Aptos Narrow"/>
      <charset val="134"/>
    </font>
    <font>
      <b/>
      <sz val="10"/>
      <color rgb="FFFFFFFF"/>
      <name val="Aptos Narrow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b/>
      <sz val="11"/>
      <color rgb="FF000000"/>
      <name val="Calibri"/>
      <charset val="134"/>
    </font>
    <font>
      <b/>
      <sz val="10"/>
      <color rgb="FF9C0006"/>
      <name val="Calibri"/>
      <charset val="134"/>
    </font>
    <font>
      <b/>
      <sz val="10"/>
      <color rgb="FFFF0000"/>
      <name val="Calibri"/>
      <charset val="134"/>
    </font>
    <font>
      <b/>
      <sz val="11"/>
      <color rgb="FF9C5700"/>
      <name val="Calibri"/>
      <charset val="134"/>
    </font>
    <font>
      <b/>
      <sz val="11"/>
      <color rgb="FF9C0006"/>
      <name val="Calibri"/>
      <charset val="134"/>
    </font>
    <font>
      <b/>
      <sz val="10"/>
      <color rgb="FF00B050"/>
      <name val="Calibri"/>
      <charset val="134"/>
    </font>
    <font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FF0000"/>
      <name val="Calibri"/>
      <charset val="1"/>
    </font>
    <font>
      <sz val="11"/>
      <color rgb="FF000000"/>
      <name val="Calibri"/>
      <charset val="134"/>
    </font>
    <font>
      <sz val="11"/>
      <color rgb="FF000000"/>
      <name val="Calibri"/>
      <charset val="0"/>
    </font>
    <font>
      <sz val="9.75"/>
      <color rgb="FF0F1824"/>
      <name val="Arial"/>
      <charset val="134"/>
    </font>
    <font>
      <sz val="9"/>
      <color rgb="FF0F1824"/>
      <name val="Arial"/>
      <charset val="134"/>
    </font>
    <font>
      <sz val="9"/>
      <name val="Arial"/>
      <charset val="134"/>
    </font>
    <font>
      <sz val="10"/>
      <name val="Calibri"/>
      <charset val="0"/>
    </font>
    <font>
      <sz val="12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2"/>
      <color rgb="FFFFFFFF"/>
      <name val="Arial"/>
      <charset val="134"/>
    </font>
    <font>
      <b/>
      <sz val="12"/>
      <color rgb="FF000000"/>
      <name val="Arial"/>
      <charset val="134"/>
    </font>
    <font>
      <sz val="20"/>
      <color theme="0"/>
      <name val="Calibri"/>
      <charset val="134"/>
      <scheme val="minor"/>
    </font>
    <font>
      <b/>
      <sz val="12"/>
      <color rgb="FF2F5597"/>
      <name val="Arial"/>
      <charset val="134"/>
    </font>
    <font>
      <b/>
      <sz val="12"/>
      <color rgb="FF0070C0"/>
      <name val="Arial"/>
      <charset val="134"/>
    </font>
    <font>
      <b/>
      <sz val="16"/>
      <color theme="1"/>
      <name val="Calibri"/>
      <charset val="134"/>
      <scheme val="minor"/>
    </font>
    <font>
      <b/>
      <sz val="15"/>
      <color rgb="FF000000"/>
      <name val="Calibri"/>
      <charset val="134"/>
      <scheme val="minor"/>
    </font>
    <font>
      <b/>
      <sz val="13"/>
      <color rgb="FF000000"/>
      <name val="Calibri"/>
      <charset val="134"/>
      <scheme val="minor"/>
    </font>
    <font>
      <b/>
      <sz val="13"/>
      <color rgb="FF0070C0"/>
      <name val="Calibri"/>
      <charset val="134"/>
      <scheme val="minor"/>
    </font>
    <font>
      <b/>
      <sz val="13"/>
      <color rgb="FF0162C3"/>
      <name val="Calibri"/>
      <charset val="134"/>
      <scheme val="minor"/>
    </font>
    <font>
      <b/>
      <u/>
      <sz val="13"/>
      <color rgb="FF00B0F0"/>
      <name val="Calibri"/>
      <charset val="134"/>
      <scheme val="minor"/>
    </font>
    <font>
      <b/>
      <sz val="13"/>
      <color rgb="FF00B050"/>
      <name val="Calibri"/>
      <charset val="134"/>
      <scheme val="minor"/>
    </font>
    <font>
      <b/>
      <sz val="16"/>
      <color rgb="FF0070C0"/>
      <name val="Calibri"/>
      <charset val="134"/>
      <scheme val="minor"/>
    </font>
    <font>
      <sz val="12"/>
      <color theme="1"/>
      <name val="Arial"/>
      <charset val="134"/>
    </font>
    <font>
      <b/>
      <sz val="12"/>
      <color rgb="FF0162C3"/>
      <name val="Arial"/>
      <charset val="134"/>
    </font>
    <font>
      <b/>
      <sz val="12"/>
      <name val="Arial"/>
      <charset val="134"/>
    </font>
    <font>
      <b/>
      <sz val="12"/>
      <color theme="1"/>
      <name val="Arial"/>
      <charset val="134"/>
    </font>
    <font>
      <b/>
      <u/>
      <sz val="12"/>
      <color rgb="FF00B0F0"/>
      <name val="Arial"/>
      <charset val="134"/>
    </font>
    <font>
      <b/>
      <u/>
      <sz val="12"/>
      <color rgb="FF0162C3"/>
      <name val="Arial"/>
      <charset val="134"/>
    </font>
    <font>
      <b/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2"/>
      <color rgb="FF0070C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rgb="FF000000"/>
      <name val="Calibri"/>
      <charset val="134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</font>
    <font>
      <b/>
      <sz val="14"/>
      <color rgb="FFFFFFFF"/>
      <name val="Arial"/>
      <charset val="134"/>
    </font>
    <font>
      <sz val="11"/>
      <color rgb="FF0070C0"/>
      <name val="Arial"/>
      <charset val="134"/>
    </font>
    <font>
      <b/>
      <sz val="12"/>
      <name val="Calibri"/>
      <charset val="134"/>
    </font>
    <font>
      <sz val="11"/>
      <name val="Calibri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17" borderId="61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62" applyNumberFormat="0" applyFill="0" applyAlignment="0" applyProtection="0">
      <alignment vertical="center"/>
    </xf>
    <xf numFmtId="0" fontId="65" fillId="0" borderId="62" applyNumberFormat="0" applyFill="0" applyAlignment="0" applyProtection="0">
      <alignment vertical="center"/>
    </xf>
    <xf numFmtId="0" fontId="66" fillId="0" borderId="63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18" borderId="64" applyNumberFormat="0" applyAlignment="0" applyProtection="0">
      <alignment vertical="center"/>
    </xf>
    <xf numFmtId="0" fontId="68" fillId="19" borderId="65" applyNumberFormat="0" applyAlignment="0" applyProtection="0">
      <alignment vertical="center"/>
    </xf>
    <xf numFmtId="0" fontId="69" fillId="19" borderId="64" applyNumberFormat="0" applyAlignment="0" applyProtection="0">
      <alignment vertical="center"/>
    </xf>
    <xf numFmtId="0" fontId="70" fillId="20" borderId="66" applyNumberFormat="0" applyAlignment="0" applyProtection="0">
      <alignment vertical="center"/>
    </xf>
    <xf numFmtId="0" fontId="71" fillId="0" borderId="67" applyNumberFormat="0" applyFill="0" applyAlignment="0" applyProtection="0">
      <alignment vertical="center"/>
    </xf>
    <xf numFmtId="0" fontId="72" fillId="0" borderId="68" applyNumberFormat="0" applyFill="0" applyAlignment="0" applyProtection="0">
      <alignment vertical="center"/>
    </xf>
    <xf numFmtId="0" fontId="73" fillId="21" borderId="0" applyNumberFormat="0" applyBorder="0" applyAlignment="0" applyProtection="0">
      <alignment vertical="center"/>
    </xf>
    <xf numFmtId="0" fontId="74" fillId="22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7" fillId="26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7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7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6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7" fillId="41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7" fillId="45" borderId="0" applyNumberFormat="0" applyBorder="0" applyAlignment="0" applyProtection="0">
      <alignment vertical="center"/>
    </xf>
    <xf numFmtId="0" fontId="77" fillId="46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</cellStyleXfs>
  <cellXfs count="27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top"/>
    </xf>
    <xf numFmtId="0" fontId="6" fillId="0" borderId="8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0" fontId="8" fillId="5" borderId="9" xfId="0" applyFont="1" applyFill="1" applyBorder="1" applyAlignment="1">
      <alignment horizontal="center" vertical="top"/>
    </xf>
    <xf numFmtId="0" fontId="7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0" fontId="9" fillId="6" borderId="9" xfId="0" applyFont="1" applyFill="1" applyBorder="1" applyAlignment="1">
      <alignment horizontal="left" vertical="top"/>
    </xf>
    <xf numFmtId="0" fontId="10" fillId="7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top"/>
    </xf>
    <xf numFmtId="0" fontId="9" fillId="0" borderId="9" xfId="0" applyFont="1" applyBorder="1" applyAlignment="1">
      <alignment horizontal="left" vertical="top"/>
    </xf>
    <xf numFmtId="0" fontId="11" fillId="5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1" fillId="8" borderId="15" xfId="0" applyFont="1" applyFill="1" applyBorder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top"/>
    </xf>
    <xf numFmtId="0" fontId="3" fillId="3" borderId="1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top"/>
    </xf>
    <xf numFmtId="0" fontId="0" fillId="0" borderId="0" xfId="0" applyFill="1" applyBorder="1">
      <alignment vertical="center"/>
    </xf>
    <xf numFmtId="0" fontId="3" fillId="3" borderId="19" xfId="0" applyFont="1" applyFill="1" applyBorder="1" applyAlignment="1">
      <alignment horizontal="center" vertical="center" wrapText="1"/>
    </xf>
    <xf numFmtId="0" fontId="1" fillId="0" borderId="20" xfId="0" applyFont="1" applyBorder="1">
      <alignment vertical="center"/>
    </xf>
    <xf numFmtId="0" fontId="2" fillId="2" borderId="17" xfId="0" applyFont="1" applyFill="1" applyBorder="1" applyAlignment="1">
      <alignment horizontal="left" vertical="center" wrapText="1"/>
    </xf>
    <xf numFmtId="0" fontId="13" fillId="2" borderId="9" xfId="0" applyFont="1" applyFill="1" applyBorder="1" applyAlignment="1">
      <alignment horizontal="left" vertical="top"/>
    </xf>
    <xf numFmtId="0" fontId="8" fillId="0" borderId="9" xfId="0" applyFont="1" applyBorder="1" applyAlignment="1">
      <alignment horizontal="center" vertical="top"/>
    </xf>
    <xf numFmtId="0" fontId="14" fillId="0" borderId="9" xfId="0" applyFont="1" applyBorder="1" applyAlignment="1">
      <alignment horizontal="left" vertical="top"/>
    </xf>
    <xf numFmtId="0" fontId="15" fillId="6" borderId="9" xfId="0" applyFont="1" applyFill="1" applyBorder="1" applyAlignment="1">
      <alignment horizontal="left" vertical="top"/>
    </xf>
    <xf numFmtId="0" fontId="15" fillId="0" borderId="9" xfId="0" applyFont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1" fillId="8" borderId="22" xfId="0" applyFont="1" applyFill="1" applyBorder="1">
      <alignment vertical="center"/>
    </xf>
    <xf numFmtId="0" fontId="10" fillId="0" borderId="0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15" fontId="0" fillId="0" borderId="23" xfId="0" applyNumberForma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5" fontId="0" fillId="0" borderId="24" xfId="0" applyNumberFormat="1" applyBorder="1" applyAlignment="1">
      <alignment horizontal="left" vertical="center"/>
    </xf>
    <xf numFmtId="0" fontId="0" fillId="0" borderId="24" xfId="0" applyBorder="1">
      <alignment vertical="center"/>
    </xf>
    <xf numFmtId="15" fontId="16" fillId="0" borderId="24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top"/>
    </xf>
    <xf numFmtId="0" fontId="0" fillId="0" borderId="24" xfId="0" applyFill="1" applyBorder="1">
      <alignment vertical="center"/>
    </xf>
    <xf numFmtId="0" fontId="17" fillId="0" borderId="9" xfId="0" applyFont="1" applyBorder="1" applyAlignment="1">
      <alignment horizontal="left" vertical="center"/>
    </xf>
    <xf numFmtId="15" fontId="16" fillId="0" borderId="9" xfId="0" applyNumberFormat="1" applyFont="1" applyBorder="1" applyAlignment="1">
      <alignment horizontal="left" vertical="center"/>
    </xf>
    <xf numFmtId="0" fontId="18" fillId="0" borderId="24" xfId="0" applyFont="1" applyBorder="1">
      <alignment vertical="center"/>
    </xf>
    <xf numFmtId="0" fontId="19" fillId="0" borderId="24" xfId="0" applyFont="1" applyBorder="1" applyAlignment="1">
      <alignment vertical="center" wrapText="1"/>
    </xf>
    <xf numFmtId="15" fontId="19" fillId="0" borderId="24" xfId="0" applyNumberFormat="1" applyFont="1" applyBorder="1" applyAlignment="1">
      <alignment horizontal="left" vertical="center"/>
    </xf>
    <xf numFmtId="15" fontId="20" fillId="0" borderId="24" xfId="0" applyNumberFormat="1" applyFont="1" applyBorder="1" applyAlignment="1">
      <alignment horizontal="left" vertical="center" wrapText="1"/>
    </xf>
    <xf numFmtId="15" fontId="19" fillId="0" borderId="24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1" fillId="0" borderId="9" xfId="0" applyFont="1" applyFill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3" fillId="9" borderId="0" xfId="0" applyFont="1" applyFill="1" applyAlignment="1">
      <alignment vertical="center" wrapText="1"/>
    </xf>
    <xf numFmtId="0" fontId="24" fillId="10" borderId="24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vertical="center"/>
    </xf>
    <xf numFmtId="0" fontId="25" fillId="11" borderId="24" xfId="0" applyFont="1" applyFill="1" applyBorder="1" applyAlignment="1">
      <alignment horizontal="center" vertical="center" wrapText="1"/>
    </xf>
    <xf numFmtId="0" fontId="25" fillId="12" borderId="24" xfId="0" applyFont="1" applyFill="1" applyBorder="1" applyAlignment="1">
      <alignment horizontal="center" vertical="center" wrapText="1"/>
    </xf>
    <xf numFmtId="0" fontId="26" fillId="9" borderId="0" xfId="0" applyFont="1" applyFill="1" applyAlignment="1">
      <alignment horizontal="center" vertical="center"/>
    </xf>
    <xf numFmtId="0" fontId="24" fillId="10" borderId="24" xfId="0" applyFont="1" applyFill="1" applyBorder="1" applyAlignment="1">
      <alignment horizontal="left" vertical="center" wrapText="1"/>
    </xf>
    <xf numFmtId="0" fontId="25" fillId="11" borderId="24" xfId="0" applyFont="1" applyFill="1" applyBorder="1" applyAlignment="1">
      <alignment horizontal="left" vertical="center" wrapText="1"/>
    </xf>
    <xf numFmtId="0" fontId="25" fillId="12" borderId="24" xfId="0" applyFont="1" applyFill="1" applyBorder="1" applyAlignment="1">
      <alignment horizontal="left" vertical="center" wrapText="1"/>
    </xf>
    <xf numFmtId="0" fontId="24" fillId="10" borderId="24" xfId="0" applyFont="1" applyFill="1" applyBorder="1" applyAlignment="1">
      <alignment horizontal="center" vertical="top" wrapText="1"/>
    </xf>
    <xf numFmtId="0" fontId="25" fillId="11" borderId="24" xfId="0" applyFont="1" applyFill="1" applyBorder="1" applyAlignment="1">
      <alignment horizontal="center" vertical="top" wrapText="1"/>
    </xf>
    <xf numFmtId="0" fontId="27" fillId="12" borderId="24" xfId="0" applyFont="1" applyFill="1" applyBorder="1" applyAlignment="1">
      <alignment horizontal="center" vertical="center" wrapText="1"/>
    </xf>
    <xf numFmtId="0" fontId="27" fillId="11" borderId="24" xfId="0" applyFont="1" applyFill="1" applyBorder="1" applyAlignment="1">
      <alignment horizontal="center" vertical="center" wrapText="1"/>
    </xf>
    <xf numFmtId="0" fontId="25" fillId="11" borderId="24" xfId="0" applyFont="1" applyFill="1" applyBorder="1" applyAlignment="1">
      <alignment vertical="center" wrapText="1"/>
    </xf>
    <xf numFmtId="0" fontId="25" fillId="12" borderId="24" xfId="0" applyFont="1" applyFill="1" applyBorder="1" applyAlignment="1">
      <alignment vertical="center" wrapText="1"/>
    </xf>
    <xf numFmtId="0" fontId="28" fillId="11" borderId="2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8" fillId="11" borderId="24" xfId="0" applyFont="1" applyFill="1" applyBorder="1" applyAlignment="1">
      <alignment horizontal="left" vertical="center" wrapText="1"/>
    </xf>
    <xf numFmtId="0" fontId="28" fillId="12" borderId="24" xfId="0" applyFont="1" applyFill="1" applyBorder="1" applyAlignment="1">
      <alignment horizontal="center" vertical="center" wrapText="1"/>
    </xf>
    <xf numFmtId="0" fontId="25" fillId="12" borderId="25" xfId="0" applyFont="1" applyFill="1" applyBorder="1" applyAlignment="1">
      <alignment horizontal="center" vertical="center" wrapText="1"/>
    </xf>
    <xf numFmtId="0" fontId="25" fillId="12" borderId="26" xfId="0" applyFont="1" applyFill="1" applyBorder="1" applyAlignment="1">
      <alignment horizontal="center" vertical="center" wrapText="1"/>
    </xf>
    <xf numFmtId="0" fontId="25" fillId="12" borderId="27" xfId="0" applyFont="1" applyFill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/>
    </xf>
    <xf numFmtId="0" fontId="30" fillId="10" borderId="24" xfId="0" applyFont="1" applyFill="1" applyBorder="1" applyAlignment="1">
      <alignment horizontal="left" vertical="center" wrapText="1"/>
    </xf>
    <xf numFmtId="0" fontId="30" fillId="10" borderId="24" xfId="0" applyFont="1" applyFill="1" applyBorder="1" applyAlignment="1">
      <alignment horizontal="center" vertical="center" wrapText="1"/>
    </xf>
    <xf numFmtId="0" fontId="31" fillId="11" borderId="24" xfId="0" applyFont="1" applyFill="1" applyBorder="1" applyAlignment="1">
      <alignment horizontal="left" vertical="top" wrapText="1"/>
    </xf>
    <xf numFmtId="0" fontId="32" fillId="11" borderId="24" xfId="0" applyFont="1" applyFill="1" applyBorder="1" applyAlignment="1">
      <alignment horizontal="center" vertical="top" wrapText="1"/>
    </xf>
    <xf numFmtId="0" fontId="31" fillId="11" borderId="24" xfId="0" applyFont="1" applyFill="1" applyBorder="1" applyAlignment="1">
      <alignment horizontal="center" vertical="top" wrapText="1"/>
    </xf>
    <xf numFmtId="0" fontId="31" fillId="12" borderId="24" xfId="0" applyFont="1" applyFill="1" applyBorder="1" applyAlignment="1">
      <alignment horizontal="left" vertical="top" wrapText="1"/>
    </xf>
    <xf numFmtId="0" fontId="32" fillId="12" borderId="24" xfId="0" applyFont="1" applyFill="1" applyBorder="1" applyAlignment="1">
      <alignment horizontal="center" vertical="top" wrapText="1"/>
    </xf>
    <xf numFmtId="0" fontId="31" fillId="12" borderId="24" xfId="0" applyFont="1" applyFill="1" applyBorder="1" applyAlignment="1">
      <alignment horizontal="center" vertical="top" wrapText="1"/>
    </xf>
    <xf numFmtId="0" fontId="33" fillId="12" borderId="24" xfId="0" applyFont="1" applyFill="1" applyBorder="1" applyAlignment="1">
      <alignment horizontal="center" vertical="top" wrapText="1"/>
    </xf>
    <xf numFmtId="0" fontId="33" fillId="11" borderId="24" xfId="0" applyFont="1" applyFill="1" applyBorder="1" applyAlignment="1">
      <alignment horizontal="center" vertical="top" wrapText="1"/>
    </xf>
    <xf numFmtId="0" fontId="34" fillId="11" borderId="24" xfId="0" applyFont="1" applyFill="1" applyBorder="1" applyAlignment="1">
      <alignment horizontal="center" vertical="top" wrapText="1"/>
    </xf>
    <xf numFmtId="0" fontId="34" fillId="12" borderId="24" xfId="0" applyFont="1" applyFill="1" applyBorder="1" applyAlignment="1">
      <alignment horizontal="center" vertical="top" wrapText="1"/>
    </xf>
    <xf numFmtId="0" fontId="35" fillId="12" borderId="24" xfId="0" applyFont="1" applyFill="1" applyBorder="1" applyAlignment="1">
      <alignment horizontal="center" vertical="top" wrapText="1"/>
    </xf>
    <xf numFmtId="0" fontId="36" fillId="11" borderId="24" xfId="0" applyFont="1" applyFill="1" applyBorder="1" applyAlignment="1">
      <alignment horizontal="left" vertical="top" wrapText="1"/>
    </xf>
    <xf numFmtId="0" fontId="0" fillId="11" borderId="24" xfId="0" applyFill="1" applyBorder="1">
      <alignment vertical="center"/>
    </xf>
    <xf numFmtId="0" fontId="22" fillId="0" borderId="0" xfId="0" applyNumberFormat="1" applyFont="1" applyAlignment="1">
      <alignment horizontal="center" vertical="center"/>
    </xf>
    <xf numFmtId="0" fontId="25" fillId="10" borderId="24" xfId="0" applyFont="1" applyFill="1" applyBorder="1" applyAlignment="1">
      <alignment horizontal="left" vertical="center" wrapText="1"/>
    </xf>
    <xf numFmtId="0" fontId="25" fillId="10" borderId="24" xfId="0" applyFont="1" applyFill="1" applyBorder="1" applyAlignment="1">
      <alignment horizontal="center" vertical="center" wrapText="1"/>
    </xf>
    <xf numFmtId="0" fontId="37" fillId="11" borderId="24" xfId="0" applyFont="1" applyFill="1" applyBorder="1">
      <alignment vertical="center"/>
    </xf>
    <xf numFmtId="0" fontId="25" fillId="11" borderId="24" xfId="0" applyFont="1" applyFill="1" applyBorder="1" applyAlignment="1">
      <alignment horizontal="left" vertical="top" wrapText="1"/>
    </xf>
    <xf numFmtId="0" fontId="28" fillId="11" borderId="24" xfId="0" applyFont="1" applyFill="1" applyBorder="1" applyAlignment="1">
      <alignment horizontal="center" vertical="top" wrapText="1"/>
    </xf>
    <xf numFmtId="0" fontId="38" fillId="12" borderId="24" xfId="0" applyFont="1" applyFill="1" applyBorder="1" applyAlignment="1">
      <alignment horizontal="center" vertical="center" wrapText="1"/>
    </xf>
    <xf numFmtId="0" fontId="25" fillId="12" borderId="24" xfId="0" applyFont="1" applyFill="1" applyBorder="1" applyAlignment="1">
      <alignment horizontal="left" vertical="top" wrapText="1"/>
    </xf>
    <xf numFmtId="0" fontId="28" fillId="12" borderId="24" xfId="0" applyFont="1" applyFill="1" applyBorder="1" applyAlignment="1">
      <alignment horizontal="center" vertical="top" wrapText="1"/>
    </xf>
    <xf numFmtId="0" fontId="25" fillId="12" borderId="24" xfId="0" applyFont="1" applyFill="1" applyBorder="1" applyAlignment="1">
      <alignment horizontal="center" vertical="top" wrapText="1"/>
    </xf>
    <xf numFmtId="0" fontId="38" fillId="11" borderId="24" xfId="0" applyFont="1" applyFill="1" applyBorder="1" applyAlignment="1">
      <alignment horizontal="center" vertical="center" wrapText="1"/>
    </xf>
    <xf numFmtId="0" fontId="39" fillId="12" borderId="24" xfId="0" applyFont="1" applyFill="1" applyBorder="1" applyAlignment="1">
      <alignment horizontal="center" vertical="top" wrapText="1"/>
    </xf>
    <xf numFmtId="0" fontId="40" fillId="11" borderId="24" xfId="0" applyFont="1" applyFill="1" applyBorder="1" applyAlignment="1">
      <alignment horizontal="center" vertical="center"/>
    </xf>
    <xf numFmtId="0" fontId="41" fillId="11" borderId="24" xfId="0" applyFont="1" applyFill="1" applyBorder="1" applyAlignment="1">
      <alignment horizontal="center" vertical="top" wrapText="1"/>
    </xf>
    <xf numFmtId="0" fontId="41" fillId="12" borderId="24" xfId="0" applyFont="1" applyFill="1" applyBorder="1" applyAlignment="1">
      <alignment horizontal="center" vertical="top" wrapText="1"/>
    </xf>
    <xf numFmtId="0" fontId="38" fillId="12" borderId="28" xfId="0" applyFont="1" applyFill="1" applyBorder="1" applyAlignment="1">
      <alignment horizontal="center" vertical="center" wrapText="1"/>
    </xf>
    <xf numFmtId="0" fontId="28" fillId="12" borderId="24" xfId="0" applyFont="1" applyFill="1" applyBorder="1" applyAlignment="1">
      <alignment horizontal="left" vertical="top" wrapText="1"/>
    </xf>
    <xf numFmtId="0" fontId="22" fillId="12" borderId="24" xfId="0" applyFont="1" applyFill="1" applyBorder="1">
      <alignment vertical="center"/>
    </xf>
    <xf numFmtId="0" fontId="38" fillId="0" borderId="0" xfId="0" applyFont="1" applyFill="1" applyBorder="1" applyAlignment="1">
      <alignment horizontal="center" vertical="center" wrapText="1"/>
    </xf>
    <xf numFmtId="0" fontId="38" fillId="12" borderId="24" xfId="0" applyFont="1" applyFill="1" applyBorder="1" applyAlignment="1">
      <alignment horizontal="center" vertical="top" wrapText="1"/>
    </xf>
    <xf numFmtId="0" fontId="42" fillId="11" borderId="24" xfId="0" applyFont="1" applyFill="1" applyBorder="1" applyAlignment="1">
      <alignment horizontal="center" vertical="center" wrapText="1"/>
    </xf>
    <xf numFmtId="0" fontId="43" fillId="0" borderId="28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24" fillId="10" borderId="25" xfId="0" applyFont="1" applyFill="1" applyBorder="1" applyAlignment="1">
      <alignment horizontal="center" vertical="center" wrapText="1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4" xfId="0" applyFont="1" applyFill="1" applyBorder="1" applyAlignment="1">
      <alignment horizontal="left" vertical="center"/>
    </xf>
    <xf numFmtId="9" fontId="25" fillId="12" borderId="24" xfId="0" applyNumberFormat="1" applyFont="1" applyFill="1" applyBorder="1" applyAlignment="1">
      <alignment horizontal="center" vertical="center" wrapText="1"/>
    </xf>
    <xf numFmtId="9" fontId="25" fillId="11" borderId="24" xfId="0" applyNumberFormat="1" applyFont="1" applyFill="1" applyBorder="1" applyAlignment="1">
      <alignment horizontal="center" vertical="center" wrapText="1"/>
    </xf>
    <xf numFmtId="0" fontId="25" fillId="13" borderId="24" xfId="0" applyFont="1" applyFill="1" applyBorder="1" applyAlignment="1">
      <alignment horizontal="center" vertical="center" wrapText="1"/>
    </xf>
    <xf numFmtId="0" fontId="25" fillId="14" borderId="24" xfId="0" applyFont="1" applyFill="1" applyBorder="1" applyAlignment="1">
      <alignment horizontal="center" vertical="center" wrapText="1"/>
    </xf>
    <xf numFmtId="0" fontId="24" fillId="10" borderId="29" xfId="0" applyFont="1" applyFill="1" applyBorder="1" applyAlignment="1">
      <alignment horizontal="center" vertical="center" wrapText="1"/>
    </xf>
    <xf numFmtId="0" fontId="25" fillId="13" borderId="29" xfId="0" applyFont="1" applyFill="1" applyBorder="1" applyAlignment="1">
      <alignment horizontal="center" vertical="center" wrapText="1"/>
    </xf>
    <xf numFmtId="0" fontId="25" fillId="15" borderId="30" xfId="0" applyFont="1" applyFill="1" applyBorder="1" applyAlignment="1">
      <alignment horizontal="center" vertical="center" wrapText="1"/>
    </xf>
    <xf numFmtId="0" fontId="25" fillId="15" borderId="31" xfId="0" applyFont="1" applyFill="1" applyBorder="1" applyAlignment="1">
      <alignment horizontal="center" vertical="center" wrapText="1"/>
    </xf>
    <xf numFmtId="0" fontId="25" fillId="15" borderId="32" xfId="0" applyFont="1" applyFill="1" applyBorder="1" applyAlignment="1">
      <alignment horizontal="center" vertical="center" wrapText="1"/>
    </xf>
    <xf numFmtId="0" fontId="25" fillId="14" borderId="25" xfId="0" applyFont="1" applyFill="1" applyBorder="1" applyAlignment="1">
      <alignment horizontal="center" vertical="center" wrapText="1"/>
    </xf>
    <xf numFmtId="0" fontId="44" fillId="10" borderId="24" xfId="0" applyFont="1" applyFill="1" applyBorder="1" applyAlignment="1">
      <alignment horizontal="center" vertical="center" wrapText="1"/>
    </xf>
    <xf numFmtId="0" fontId="45" fillId="10" borderId="24" xfId="0" applyFont="1" applyFill="1" applyBorder="1" applyAlignment="1">
      <alignment horizontal="center" vertical="center" wrapText="1"/>
    </xf>
    <xf numFmtId="0" fontId="46" fillId="13" borderId="24" xfId="0" applyFont="1" applyFill="1" applyBorder="1" applyAlignment="1">
      <alignment horizontal="center" vertical="center" wrapText="1"/>
    </xf>
    <xf numFmtId="0" fontId="46" fillId="14" borderId="24" xfId="0" applyFont="1" applyFill="1" applyBorder="1" applyAlignment="1">
      <alignment horizontal="center" vertical="center" wrapText="1"/>
    </xf>
    <xf numFmtId="16" fontId="47" fillId="10" borderId="24" xfId="0" applyNumberFormat="1" applyFont="1" applyFill="1" applyBorder="1" applyAlignment="1">
      <alignment horizontal="center" vertical="center" wrapText="1"/>
    </xf>
    <xf numFmtId="0" fontId="48" fillId="10" borderId="24" xfId="0" applyFont="1" applyFill="1" applyBorder="1" applyAlignment="1">
      <alignment horizontal="center" vertical="center" wrapText="1"/>
    </xf>
    <xf numFmtId="0" fontId="49" fillId="13" borderId="28" xfId="0" applyFont="1" applyFill="1" applyBorder="1" applyAlignment="1">
      <alignment horizontal="center" vertical="center" wrapText="1"/>
    </xf>
    <xf numFmtId="0" fontId="49" fillId="13" borderId="23" xfId="0" applyFont="1" applyFill="1" applyBorder="1" applyAlignment="1">
      <alignment horizontal="center" vertical="center" wrapText="1"/>
    </xf>
    <xf numFmtId="0" fontId="49" fillId="14" borderId="24" xfId="0" applyFont="1" applyFill="1" applyBorder="1" applyAlignment="1">
      <alignment horizontal="center" vertical="center" wrapText="1"/>
    </xf>
    <xf numFmtId="0" fontId="25" fillId="14" borderId="26" xfId="0" applyFont="1" applyFill="1" applyBorder="1" applyAlignment="1">
      <alignment horizontal="center" vertical="center" wrapText="1"/>
    </xf>
    <xf numFmtId="0" fontId="25" fillId="14" borderId="27" xfId="0" applyFont="1" applyFill="1" applyBorder="1" applyAlignment="1">
      <alignment horizontal="center" vertical="center" wrapText="1"/>
    </xf>
    <xf numFmtId="0" fontId="49" fillId="13" borderId="24" xfId="0" applyFont="1" applyFill="1" applyBorder="1" applyAlignment="1">
      <alignment horizontal="center" vertical="center" wrapText="1"/>
    </xf>
    <xf numFmtId="0" fontId="46" fillId="13" borderId="28" xfId="0" applyFont="1" applyFill="1" applyBorder="1" applyAlignment="1">
      <alignment horizontal="center" vertical="center" wrapText="1"/>
    </xf>
    <xf numFmtId="0" fontId="46" fillId="13" borderId="28" xfId="0" applyNumberFormat="1" applyFont="1" applyFill="1" applyBorder="1" applyAlignment="1">
      <alignment horizontal="center" vertical="center" wrapText="1"/>
    </xf>
    <xf numFmtId="0" fontId="46" fillId="13" borderId="23" xfId="0" applyFont="1" applyFill="1" applyBorder="1" applyAlignment="1">
      <alignment horizontal="center" vertical="center" wrapText="1"/>
    </xf>
    <xf numFmtId="0" fontId="46" fillId="13" borderId="23" xfId="0" applyNumberFormat="1" applyFont="1" applyFill="1" applyBorder="1" applyAlignment="1">
      <alignment horizontal="center" vertical="center" wrapText="1"/>
    </xf>
    <xf numFmtId="0" fontId="22" fillId="10" borderId="24" xfId="0" applyFont="1" applyFill="1" applyBorder="1" applyAlignment="1">
      <alignment horizontal="center" vertical="center"/>
    </xf>
    <xf numFmtId="0" fontId="50" fillId="13" borderId="24" xfId="0" applyFont="1" applyFill="1" applyBorder="1" applyAlignment="1">
      <alignment horizontal="center" vertical="top" wrapText="1"/>
    </xf>
    <xf numFmtId="0" fontId="51" fillId="13" borderId="24" xfId="0" applyFont="1" applyFill="1" applyBorder="1" applyAlignment="1">
      <alignment horizontal="center" vertical="top" wrapText="1"/>
    </xf>
    <xf numFmtId="0" fontId="50" fillId="14" borderId="24" xfId="0" applyFont="1" applyFill="1" applyBorder="1" applyAlignment="1">
      <alignment horizontal="center" vertical="top" wrapText="1"/>
    </xf>
    <xf numFmtId="0" fontId="51" fillId="14" borderId="24" xfId="0" applyFont="1" applyFill="1" applyBorder="1" applyAlignment="1">
      <alignment horizontal="center" vertical="top" wrapText="1"/>
    </xf>
    <xf numFmtId="0" fontId="52" fillId="14" borderId="24" xfId="0" applyFont="1" applyFill="1" applyBorder="1" applyAlignment="1">
      <alignment horizontal="center" vertical="top" wrapText="1"/>
    </xf>
    <xf numFmtId="0" fontId="53" fillId="14" borderId="24" xfId="0" applyFont="1" applyFill="1" applyBorder="1" applyAlignment="1">
      <alignment horizontal="center" vertical="center" wrapText="1"/>
    </xf>
    <xf numFmtId="0" fontId="52" fillId="13" borderId="24" xfId="0" applyFont="1" applyFill="1" applyBorder="1" applyAlignment="1">
      <alignment horizontal="center" vertical="top" wrapText="1"/>
    </xf>
    <xf numFmtId="0" fontId="52" fillId="13" borderId="24" xfId="0" applyFont="1" applyFill="1" applyBorder="1" applyAlignment="1">
      <alignment horizontal="center" vertical="center" wrapText="1"/>
    </xf>
    <xf numFmtId="0" fontId="54" fillId="10" borderId="24" xfId="0" applyFont="1" applyFill="1" applyBorder="1" applyAlignment="1">
      <alignment horizontal="center" vertical="center" wrapText="1"/>
    </xf>
    <xf numFmtId="0" fontId="53" fillId="13" borderId="24" xfId="0" applyFont="1" applyFill="1" applyBorder="1" applyAlignment="1">
      <alignment horizontal="center" vertical="top" wrapText="1"/>
    </xf>
    <xf numFmtId="0" fontId="53" fillId="14" borderId="24" xfId="0" applyFont="1" applyFill="1" applyBorder="1" applyAlignment="1">
      <alignment horizontal="center" vertical="top" wrapText="1"/>
    </xf>
    <xf numFmtId="0" fontId="51" fillId="13" borderId="24" xfId="0" applyFont="1" applyFill="1" applyBorder="1" applyAlignment="1">
      <alignment horizontal="center" vertical="center" wrapText="1"/>
    </xf>
    <xf numFmtId="0" fontId="46" fillId="13" borderId="33" xfId="0" applyFont="1" applyFill="1" applyBorder="1" applyAlignment="1">
      <alignment horizontal="center" vertical="center" wrapText="1"/>
    </xf>
    <xf numFmtId="0" fontId="46" fillId="13" borderId="34" xfId="0" applyFont="1" applyFill="1" applyBorder="1" applyAlignment="1">
      <alignment horizontal="center" vertical="center" wrapText="1"/>
    </xf>
    <xf numFmtId="0" fontId="46" fillId="13" borderId="35" xfId="0" applyFont="1" applyFill="1" applyBorder="1" applyAlignment="1">
      <alignment horizontal="center" vertical="center" wrapText="1"/>
    </xf>
    <xf numFmtId="0" fontId="46" fillId="13" borderId="36" xfId="0" applyFont="1" applyFill="1" applyBorder="1" applyAlignment="1">
      <alignment horizontal="center" vertical="center" wrapText="1"/>
    </xf>
    <xf numFmtId="0" fontId="46" fillId="13" borderId="37" xfId="0" applyFont="1" applyFill="1" applyBorder="1" applyAlignment="1">
      <alignment horizontal="center" vertical="center" wrapText="1"/>
    </xf>
    <xf numFmtId="0" fontId="46" fillId="13" borderId="38" xfId="0" applyFont="1" applyFill="1" applyBorder="1" applyAlignment="1">
      <alignment horizontal="center" vertical="center" wrapText="1"/>
    </xf>
    <xf numFmtId="0" fontId="24" fillId="10" borderId="29" xfId="0" applyFont="1" applyFill="1" applyBorder="1" applyAlignment="1">
      <alignment horizontal="center" vertical="top" wrapText="1"/>
    </xf>
    <xf numFmtId="0" fontId="25" fillId="11" borderId="29" xfId="0" applyFont="1" applyFill="1" applyBorder="1" applyAlignment="1">
      <alignment horizontal="center" vertical="top" wrapText="1"/>
    </xf>
    <xf numFmtId="0" fontId="25" fillId="12" borderId="29" xfId="0" applyFont="1" applyFill="1" applyBorder="1" applyAlignment="1">
      <alignment horizontal="center" vertical="center" wrapText="1"/>
    </xf>
    <xf numFmtId="0" fontId="25" fillId="12" borderId="30" xfId="0" applyFont="1" applyFill="1" applyBorder="1" applyAlignment="1">
      <alignment horizontal="center" vertical="center" wrapText="1"/>
    </xf>
    <xf numFmtId="0" fontId="22" fillId="12" borderId="31" xfId="0" applyFont="1" applyFill="1" applyBorder="1">
      <alignment vertical="center"/>
    </xf>
    <xf numFmtId="0" fontId="27" fillId="12" borderId="32" xfId="0" applyFont="1" applyFill="1" applyBorder="1" applyAlignment="1">
      <alignment horizontal="center" vertical="center" wrapText="1"/>
    </xf>
    <xf numFmtId="0" fontId="25" fillId="11" borderId="29" xfId="0" applyFont="1" applyFill="1" applyBorder="1" applyAlignment="1">
      <alignment horizontal="center" vertical="center" wrapText="1"/>
    </xf>
    <xf numFmtId="0" fontId="25" fillId="11" borderId="30" xfId="0" applyFont="1" applyFill="1" applyBorder="1" applyAlignment="1">
      <alignment horizontal="center" vertical="center" wrapText="1"/>
    </xf>
    <xf numFmtId="0" fontId="22" fillId="11" borderId="31" xfId="0" applyFont="1" applyFill="1" applyBorder="1">
      <alignment vertical="center"/>
    </xf>
    <xf numFmtId="0" fontId="27" fillId="11" borderId="32" xfId="0" applyFont="1" applyFill="1" applyBorder="1" applyAlignment="1">
      <alignment horizontal="center" vertical="center" wrapText="1"/>
    </xf>
    <xf numFmtId="0" fontId="24" fillId="10" borderId="30" xfId="0" applyFont="1" applyFill="1" applyBorder="1" applyAlignment="1">
      <alignment horizontal="center" vertical="center" wrapText="1"/>
    </xf>
    <xf numFmtId="0" fontId="25" fillId="12" borderId="0" xfId="0" applyFont="1" applyFill="1" applyAlignment="1">
      <alignment horizontal="center" vertical="center" wrapText="1"/>
    </xf>
    <xf numFmtId="0" fontId="28" fillId="11" borderId="29" xfId="0" applyFont="1" applyFill="1" applyBorder="1" applyAlignment="1">
      <alignment horizontal="center" vertical="center" wrapText="1"/>
    </xf>
    <xf numFmtId="0" fontId="28" fillId="12" borderId="39" xfId="0" applyFont="1" applyFill="1" applyBorder="1" applyAlignment="1">
      <alignment horizontal="center" vertical="center" wrapText="1"/>
    </xf>
    <xf numFmtId="0" fontId="28" fillId="12" borderId="40" xfId="0" applyFont="1" applyFill="1" applyBorder="1" applyAlignment="1">
      <alignment horizontal="center" vertical="center" wrapText="1"/>
    </xf>
    <xf numFmtId="0" fontId="28" fillId="12" borderId="41" xfId="0" applyFont="1" applyFill="1" applyBorder="1" applyAlignment="1">
      <alignment horizontal="center" vertical="center" wrapText="1"/>
    </xf>
    <xf numFmtId="0" fontId="28" fillId="12" borderId="30" xfId="0" applyFont="1" applyFill="1" applyBorder="1" applyAlignment="1">
      <alignment horizontal="center" vertical="center" wrapText="1"/>
    </xf>
    <xf numFmtId="0" fontId="28" fillId="12" borderId="42" xfId="0" applyFont="1" applyFill="1" applyBorder="1" applyAlignment="1">
      <alignment horizontal="center" vertical="center" wrapText="1"/>
    </xf>
    <xf numFmtId="0" fontId="28" fillId="12" borderId="0" xfId="0" applyFont="1" applyFill="1" applyAlignment="1">
      <alignment horizontal="center" vertical="center" wrapText="1"/>
    </xf>
    <xf numFmtId="0" fontId="28" fillId="12" borderId="43" xfId="0" applyFont="1" applyFill="1" applyBorder="1" applyAlignment="1">
      <alignment horizontal="center" vertical="center" wrapText="1"/>
    </xf>
    <xf numFmtId="0" fontId="28" fillId="12" borderId="32" xfId="0" applyFont="1" applyFill="1" applyBorder="1" applyAlignment="1">
      <alignment horizontal="center" vertical="center" wrapText="1"/>
    </xf>
    <xf numFmtId="0" fontId="25" fillId="12" borderId="31" xfId="0" applyFont="1" applyFill="1" applyBorder="1" applyAlignment="1">
      <alignment horizontal="center" vertical="center" wrapText="1"/>
    </xf>
    <xf numFmtId="0" fontId="28" fillId="12" borderId="44" xfId="0" applyFont="1" applyFill="1" applyBorder="1" applyAlignment="1">
      <alignment horizontal="center" vertical="center" wrapText="1"/>
    </xf>
    <xf numFmtId="0" fontId="28" fillId="12" borderId="45" xfId="0" applyFont="1" applyFill="1" applyBorder="1" applyAlignment="1">
      <alignment horizontal="center" vertical="center" wrapText="1"/>
    </xf>
    <xf numFmtId="0" fontId="28" fillId="12" borderId="46" xfId="0" applyFont="1" applyFill="1" applyBorder="1" applyAlignment="1">
      <alignment horizontal="center" vertical="center" wrapText="1"/>
    </xf>
    <xf numFmtId="0" fontId="22" fillId="0" borderId="32" xfId="0" applyFont="1" applyBorder="1">
      <alignment vertical="center"/>
    </xf>
    <xf numFmtId="0" fontId="24" fillId="10" borderId="47" xfId="0" applyFont="1" applyFill="1" applyBorder="1" applyAlignment="1">
      <alignment horizontal="center" vertical="center" wrapText="1"/>
    </xf>
    <xf numFmtId="0" fontId="24" fillId="10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horizontal="center" vertical="center" wrapText="1"/>
    </xf>
    <xf numFmtId="0" fontId="22" fillId="16" borderId="29" xfId="0" applyFont="1" applyFill="1" applyBorder="1">
      <alignment vertical="center"/>
    </xf>
    <xf numFmtId="0" fontId="22" fillId="11" borderId="29" xfId="0" applyFont="1" applyFill="1" applyBorder="1">
      <alignment vertical="center"/>
    </xf>
    <xf numFmtId="0" fontId="42" fillId="11" borderId="29" xfId="0" applyFont="1" applyFill="1" applyBorder="1" applyAlignment="1">
      <alignment horizontal="center" vertical="center" wrapText="1"/>
    </xf>
    <xf numFmtId="0" fontId="38" fillId="12" borderId="29" xfId="0" applyFont="1" applyFill="1" applyBorder="1" applyAlignment="1">
      <alignment horizontal="center" vertical="center" wrapText="1"/>
    </xf>
    <xf numFmtId="0" fontId="38" fillId="11" borderId="29" xfId="0" applyFont="1" applyFill="1" applyBorder="1" applyAlignment="1">
      <alignment horizontal="center" vertical="center" wrapText="1"/>
    </xf>
    <xf numFmtId="0" fontId="25" fillId="14" borderId="29" xfId="0" applyFont="1" applyFill="1" applyBorder="1" applyAlignment="1">
      <alignment horizontal="center" vertical="center" wrapText="1"/>
    </xf>
    <xf numFmtId="0" fontId="25" fillId="15" borderId="29" xfId="0" applyFont="1" applyFill="1" applyBorder="1" applyAlignment="1">
      <alignment horizontal="center" vertical="center" wrapText="1"/>
    </xf>
    <xf numFmtId="0" fontId="22" fillId="15" borderId="31" xfId="0" applyFont="1" applyFill="1" applyBorder="1">
      <alignment vertical="center"/>
    </xf>
    <xf numFmtId="0" fontId="24" fillId="10" borderId="29" xfId="0" applyFont="1" applyFill="1" applyBorder="1" applyAlignment="1">
      <alignment horizontal="left" vertical="center"/>
    </xf>
    <xf numFmtId="9" fontId="25" fillId="11" borderId="29" xfId="0" applyNumberFormat="1" applyFont="1" applyFill="1" applyBorder="1" applyAlignment="1">
      <alignment horizontal="center" vertical="center" wrapText="1"/>
    </xf>
    <xf numFmtId="0" fontId="38" fillId="11" borderId="24" xfId="0" applyFont="1" applyFill="1" applyBorder="1" applyAlignment="1">
      <alignment horizontal="center" vertical="top" wrapText="1"/>
    </xf>
    <xf numFmtId="0" fontId="22" fillId="0" borderId="0" xfId="0" applyFont="1" applyFill="1" applyBorder="1">
      <alignment vertical="center"/>
    </xf>
    <xf numFmtId="0" fontId="43" fillId="0" borderId="0" xfId="0" applyFont="1" applyFill="1" applyBorder="1" applyAlignment="1">
      <alignment horizontal="center" vertical="center"/>
    </xf>
    <xf numFmtId="16" fontId="44" fillId="10" borderId="24" xfId="0" applyNumberFormat="1" applyFont="1" applyFill="1" applyBorder="1" applyAlignment="1">
      <alignment horizontal="center" vertical="center" wrapText="1"/>
    </xf>
    <xf numFmtId="0" fontId="46" fillId="13" borderId="24" xfId="0" applyNumberFormat="1" applyFont="1" applyFill="1" applyBorder="1" applyAlignment="1">
      <alignment horizontal="center" vertical="center" wrapText="1"/>
    </xf>
    <xf numFmtId="0" fontId="46" fillId="13" borderId="25" xfId="0" applyFont="1" applyFill="1" applyBorder="1" applyAlignment="1">
      <alignment horizontal="center" vertical="center" wrapText="1"/>
    </xf>
    <xf numFmtId="0" fontId="46" fillId="13" borderId="26" xfId="0" applyFont="1" applyFill="1" applyBorder="1" applyAlignment="1">
      <alignment horizontal="center" vertical="center" wrapText="1"/>
    </xf>
    <xf numFmtId="0" fontId="46" fillId="13" borderId="27" xfId="0" applyFont="1" applyFill="1" applyBorder="1" applyAlignment="1">
      <alignment horizontal="center" vertical="center" wrapText="1"/>
    </xf>
    <xf numFmtId="0" fontId="44" fillId="10" borderId="29" xfId="0" applyFont="1" applyFill="1" applyBorder="1" applyAlignment="1">
      <alignment vertical="center" wrapText="1"/>
    </xf>
    <xf numFmtId="0" fontId="45" fillId="10" borderId="29" xfId="0" applyFont="1" applyFill="1" applyBorder="1" applyAlignment="1">
      <alignment vertical="center" wrapText="1"/>
    </xf>
    <xf numFmtId="0" fontId="45" fillId="10" borderId="30" xfId="0" applyFont="1" applyFill="1" applyBorder="1" applyAlignment="1">
      <alignment vertical="center" wrapText="1"/>
    </xf>
    <xf numFmtId="0" fontId="46" fillId="13" borderId="29" xfId="0" applyFont="1" applyFill="1" applyBorder="1" applyAlignment="1">
      <alignment horizontal="center" vertical="center" wrapText="1"/>
    </xf>
    <xf numFmtId="0" fontId="22" fillId="10" borderId="31" xfId="0" applyFont="1" applyFill="1" applyBorder="1">
      <alignment vertical="center"/>
    </xf>
    <xf numFmtId="0" fontId="50" fillId="13" borderId="29" xfId="0" applyFont="1" applyFill="1" applyBorder="1" applyAlignment="1">
      <alignment horizontal="center" vertical="top" wrapText="1"/>
    </xf>
    <xf numFmtId="0" fontId="51" fillId="13" borderId="29" xfId="0" applyFont="1" applyFill="1" applyBorder="1" applyAlignment="1">
      <alignment horizontal="center" vertical="top" wrapText="1"/>
    </xf>
    <xf numFmtId="0" fontId="46" fillId="14" borderId="29" xfId="0" applyFont="1" applyFill="1" applyBorder="1" applyAlignment="1">
      <alignment horizontal="center" vertical="center" wrapText="1"/>
    </xf>
    <xf numFmtId="0" fontId="45" fillId="10" borderId="31" xfId="0" applyFont="1" applyFill="1" applyBorder="1" applyAlignment="1">
      <alignment horizontal="center" vertical="center" wrapText="1"/>
    </xf>
    <xf numFmtId="0" fontId="50" fillId="14" borderId="29" xfId="0" applyFont="1" applyFill="1" applyBorder="1" applyAlignment="1">
      <alignment horizontal="center" vertical="top" wrapText="1"/>
    </xf>
    <xf numFmtId="0" fontId="51" fillId="14" borderId="29" xfId="0" applyFont="1" applyFill="1" applyBorder="1" applyAlignment="1">
      <alignment horizontal="center" vertical="top" wrapText="1"/>
    </xf>
    <xf numFmtId="0" fontId="52" fillId="14" borderId="29" xfId="0" applyFont="1" applyFill="1" applyBorder="1" applyAlignment="1">
      <alignment horizontal="center" vertical="top" wrapText="1"/>
    </xf>
    <xf numFmtId="0" fontId="46" fillId="13" borderId="29" xfId="0" applyFont="1" applyFill="1" applyBorder="1" applyAlignment="1">
      <alignment vertical="center" wrapText="1"/>
    </xf>
    <xf numFmtId="0" fontId="52" fillId="13" borderId="29" xfId="0" applyFont="1" applyFill="1" applyBorder="1" applyAlignment="1">
      <alignment horizontal="center" vertical="top" wrapText="1"/>
    </xf>
    <xf numFmtId="0" fontId="45" fillId="10" borderId="32" xfId="0" applyFont="1" applyFill="1" applyBorder="1" applyAlignment="1">
      <alignment horizontal="center" vertical="center" wrapText="1"/>
    </xf>
    <xf numFmtId="0" fontId="52" fillId="13" borderId="29" xfId="0" applyFont="1" applyFill="1" applyBorder="1" applyAlignment="1">
      <alignment horizontal="center" vertical="center" wrapText="1"/>
    </xf>
    <xf numFmtId="0" fontId="53" fillId="14" borderId="29" xfId="0" applyFont="1" applyFill="1" applyBorder="1" applyAlignment="1">
      <alignment horizontal="center" vertical="center" wrapText="1"/>
    </xf>
    <xf numFmtId="0" fontId="24" fillId="10" borderId="50" xfId="0" applyFont="1" applyFill="1" applyBorder="1" applyAlignment="1">
      <alignment horizontal="center" vertical="center" wrapText="1"/>
    </xf>
    <xf numFmtId="0" fontId="24" fillId="10" borderId="51" xfId="0" applyFont="1" applyFill="1" applyBorder="1" applyAlignment="1">
      <alignment horizontal="center" vertical="center" wrapText="1"/>
    </xf>
    <xf numFmtId="0" fontId="24" fillId="10" borderId="52" xfId="0" applyFont="1" applyFill="1" applyBorder="1" applyAlignment="1">
      <alignment horizontal="center" vertical="center" wrapText="1"/>
    </xf>
    <xf numFmtId="0" fontId="24" fillId="10" borderId="53" xfId="0" applyFont="1" applyFill="1" applyBorder="1" applyAlignment="1">
      <alignment horizontal="center" vertical="center" wrapText="1"/>
    </xf>
    <xf numFmtId="0" fontId="24" fillId="10" borderId="54" xfId="0" applyFont="1" applyFill="1" applyBorder="1" applyAlignment="1">
      <alignment horizontal="center" vertical="center" wrapText="1"/>
    </xf>
    <xf numFmtId="0" fontId="55" fillId="0" borderId="55" xfId="0" applyFont="1" applyFill="1" applyBorder="1" applyAlignment="1">
      <alignment horizontal="center" vertical="center" wrapText="1"/>
    </xf>
    <xf numFmtId="0" fontId="55" fillId="0" borderId="56" xfId="0" applyFont="1" applyFill="1" applyBorder="1" applyAlignment="1">
      <alignment horizontal="center" vertical="center" wrapText="1"/>
    </xf>
    <xf numFmtId="0" fontId="55" fillId="0" borderId="54" xfId="0" applyFont="1" applyFill="1" applyBorder="1" applyAlignment="1">
      <alignment horizontal="center" vertical="center" wrapText="1"/>
    </xf>
    <xf numFmtId="0" fontId="56" fillId="0" borderId="23" xfId="0" applyFont="1" applyFill="1" applyBorder="1" applyAlignment="1">
      <alignment horizontal="center" vertical="center" wrapText="1"/>
    </xf>
    <xf numFmtId="0" fontId="57" fillId="0" borderId="23" xfId="0" applyFont="1" applyFill="1" applyBorder="1" applyAlignment="1">
      <alignment horizontal="center" vertical="center"/>
    </xf>
    <xf numFmtId="0" fontId="58" fillId="0" borderId="57" xfId="0" applyFont="1" applyFill="1" applyBorder="1" applyAlignment="1">
      <alignment horizontal="center" vertical="center" wrapText="1"/>
    </xf>
    <xf numFmtId="0" fontId="58" fillId="0" borderId="23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/>
    </xf>
    <xf numFmtId="0" fontId="56" fillId="0" borderId="24" xfId="0" applyFont="1" applyFill="1" applyBorder="1" applyAlignment="1">
      <alignment horizontal="center" vertical="center" wrapText="1"/>
    </xf>
    <xf numFmtId="0" fontId="57" fillId="0" borderId="24" xfId="0" applyFont="1" applyFill="1" applyBorder="1" applyAlignment="1">
      <alignment horizontal="center" vertical="center"/>
    </xf>
    <xf numFmtId="0" fontId="58" fillId="0" borderId="59" xfId="0" applyFont="1" applyFill="1" applyBorder="1" applyAlignment="1">
      <alignment horizontal="center" vertical="center" wrapText="1"/>
    </xf>
    <xf numFmtId="0" fontId="58" fillId="0" borderId="24" xfId="0" applyFont="1" applyFill="1" applyBorder="1" applyAlignment="1">
      <alignment horizontal="center" vertical="center" wrapText="1"/>
    </xf>
    <xf numFmtId="0" fontId="0" fillId="0" borderId="60" xfId="0" applyFont="1" applyFill="1" applyBorder="1" applyAlignment="1">
      <alignment horizontal="center" vertical="center"/>
    </xf>
    <xf numFmtId="0" fontId="58" fillId="0" borderId="12" xfId="0" applyFont="1" applyFill="1" applyBorder="1" applyAlignment="1">
      <alignment horizontal="center" vertical="center" wrapText="1"/>
    </xf>
    <xf numFmtId="0" fontId="58" fillId="0" borderId="13" xfId="0" applyFont="1" applyFill="1" applyBorder="1" applyAlignment="1">
      <alignment horizontal="center" vertical="center" wrapText="1"/>
    </xf>
    <xf numFmtId="0" fontId="0" fillId="0" borderId="15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'Consulting Dept.'!$C$2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'Consulting Dept.'!$B$3:$B$6</c:f>
              <c:strCache>
                <c:ptCount val="4"/>
                <c:pt idx="0">
                  <c:v>Total Auditors</c:v>
                </c:pt>
                <c:pt idx="1">
                  <c:v>Team Members</c:v>
                </c:pt>
                <c:pt idx="2">
                  <c:v>Jr. Lead</c:v>
                </c:pt>
                <c:pt idx="3">
                  <c:v>Sr. Lead</c:v>
                </c:pt>
              </c:strCache>
            </c:strRef>
          </c:cat>
          <c:val>
            <c:numRef>
              <c:f>'Consulting Dept.'!$C$3:$C$6</c:f>
              <c:numCache>
                <c:formatCode>General</c:formatCode>
                <c:ptCount val="4"/>
                <c:pt idx="0">
                  <c:v>30</c:v>
                </c:pt>
                <c:pt idx="1">
                  <c:v>21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5627804"/>
        <c:axId val="58517640"/>
      </c:barChart>
      <c:lineChart>
        <c:grouping val="standard"/>
        <c:varyColors val="0"/>
        <c:ser>
          <c:idx val="1"/>
          <c:order val="1"/>
          <c:tx>
            <c:strRef>
              <c:f>'Consulting Dept.'!$D$2</c:f>
              <c:strCache>
                <c:ptCount val="1"/>
                <c:pt idx="0">
                  <c:v>Onsite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'Consulting Dept.'!$B$3:$B$6</c:f>
              <c:strCache>
                <c:ptCount val="4"/>
                <c:pt idx="0">
                  <c:v>Total Auditors</c:v>
                </c:pt>
                <c:pt idx="1">
                  <c:v>Team Members</c:v>
                </c:pt>
                <c:pt idx="2">
                  <c:v>Jr. Lead</c:v>
                </c:pt>
                <c:pt idx="3">
                  <c:v>Sr. Lead</c:v>
                </c:pt>
              </c:strCache>
            </c:strRef>
          </c:cat>
          <c:val>
            <c:numRef>
              <c:f>'Consulting Dept.'!$D$3:$D$6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'Consulting Dept.'!$E$2</c:f>
              <c:strCache>
                <c:ptCount val="1"/>
                <c:pt idx="0">
                  <c:v>Offsite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'Consulting Dept.'!$B$3:$B$6</c:f>
              <c:strCache>
                <c:ptCount val="4"/>
                <c:pt idx="0">
                  <c:v>Total Auditors</c:v>
                </c:pt>
                <c:pt idx="1">
                  <c:v>Team Members</c:v>
                </c:pt>
                <c:pt idx="2">
                  <c:v>Jr. Lead</c:v>
                </c:pt>
                <c:pt idx="3">
                  <c:v>Sr. Lead</c:v>
                </c:pt>
              </c:strCache>
            </c:strRef>
          </c:cat>
          <c:val>
            <c:numRef>
              <c:f>'Consulting Dept.'!$E$3:$E$6</c:f>
              <c:numCache>
                <c:formatCode>General</c:formatCode>
                <c:ptCount val="4"/>
                <c:pt idx="0">
                  <c:v>26</c:v>
                </c:pt>
                <c:pt idx="1">
                  <c:v>17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814951"/>
        <c:axId val="261753734"/>
      </c:lineChart>
      <c:catAx>
        <c:axId val="6656278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17640"/>
        <c:crosses val="autoZero"/>
        <c:auto val="1"/>
        <c:lblAlgn val="ctr"/>
        <c:lblOffset val="100"/>
        <c:noMultiLvlLbl val="0"/>
      </c:catAx>
      <c:valAx>
        <c:axId val="5851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627804"/>
        <c:crosses val="autoZero"/>
        <c:crossBetween val="between"/>
      </c:valAx>
      <c:catAx>
        <c:axId val="16814951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753734"/>
        <c:crosses val="autoZero"/>
        <c:auto val="1"/>
        <c:lblAlgn val="ctr"/>
        <c:lblOffset val="100"/>
        <c:noMultiLvlLbl val="0"/>
      </c:catAx>
      <c:valAx>
        <c:axId val="26175373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495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81856e-e17a-4b82-a658-4ce9d82076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'Consulting Dept.'!$G$3</c:f>
              <c:strCache>
                <c:ptCount val="1"/>
                <c:pt idx="0">
                  <c:v>WBS Count-Total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'Consulting Dept.'!$H$2:$M$2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'Consulting Dept.'!$H$3:$M$3</c:f>
              <c:numCache>
                <c:formatCode>General</c:formatCode>
                <c:ptCount val="6"/>
                <c:pt idx="0">
                  <c:v>2</c:v>
                </c:pt>
                <c:pt idx="1">
                  <c:v>9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19195"/>
        <c:axId val="637693003"/>
      </c:barChart>
      <c:lineChart>
        <c:grouping val="standard"/>
        <c:varyColors val="0"/>
        <c:ser>
          <c:idx val="1"/>
          <c:order val="1"/>
          <c:tx>
            <c:strRef>
              <c:f>'Consulting Dept.'!$G$4</c:f>
              <c:strCache>
                <c:ptCount val="1"/>
                <c:pt idx="0">
                  <c:v>WBS Count-Onsite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'Consulting Dept.'!$H$2:$M$2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'Consulting Dept.'!$H$4:$M$4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'Consulting Dept.'!$G$5</c:f>
              <c:strCache>
                <c:ptCount val="1"/>
                <c:pt idx="0">
                  <c:v>WBS Count-Offsite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'Consulting Dept.'!$H$2:$M$2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'Consulting Dept.'!$H$5:$M$5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26615327"/>
        <c:axId val="54211711"/>
      </c:lineChart>
      <c:catAx>
        <c:axId val="926191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693003"/>
        <c:crosses val="autoZero"/>
        <c:auto val="1"/>
        <c:lblAlgn val="ctr"/>
        <c:lblOffset val="100"/>
        <c:noMultiLvlLbl val="0"/>
      </c:catAx>
      <c:valAx>
        <c:axId val="6376930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619195"/>
        <c:crosses val="autoZero"/>
        <c:crossBetween val="between"/>
      </c:valAx>
      <c:catAx>
        <c:axId val="72661532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11711"/>
        <c:crosses val="autoZero"/>
        <c:auto val="1"/>
        <c:lblAlgn val="ctr"/>
        <c:lblOffset val="100"/>
        <c:noMultiLvlLbl val="0"/>
      </c:catAx>
      <c:valAx>
        <c:axId val="542117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661532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77fa2c-0d07-45e1-8b1e-e4cf6ac7b3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'Graphs(Q2 &amp; 3)'!$J$2</c:f>
              <c:strCache>
                <c:ptCount val="1"/>
                <c:pt idx="0">
                  <c:v>Total Team 
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3)'!$K$1:$P$1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3)'!$K$2:$P$2</c:f>
              <c:numCache>
                <c:formatCode>General</c:formatCode>
                <c:ptCount val="6"/>
                <c:pt idx="0">
                  <c:v>147</c:v>
                </c:pt>
                <c:pt idx="1">
                  <c:v>143</c:v>
                </c:pt>
                <c:pt idx="2">
                  <c:v>144</c:v>
                </c:pt>
                <c:pt idx="3">
                  <c:v>136</c:v>
                </c:pt>
                <c:pt idx="4">
                  <c:v>133</c:v>
                </c:pt>
                <c:pt idx="5">
                  <c:v>132</c:v>
                </c:pt>
              </c:numCache>
            </c:numRef>
          </c:val>
        </c:ser>
        <c:ser>
          <c:idx val="1"/>
          <c:order val="1"/>
          <c:tx>
            <c:strRef>
              <c:f>'Graphs(Q2 &amp; 3)'!$J$3</c:f>
              <c:strCache>
                <c:ptCount val="1"/>
                <c:pt idx="0">
                  <c:v>On-
Boarding</c:v>
                </c:pt>
              </c:strCache>
            </c:strRef>
          </c:tx>
          <c:spPr>
            <a:solidFill>
              <a:srgbClr val="FF0000"/>
            </a:solidFill>
            <a:ln w="60325" cmpd="sng">
              <a:solidFill>
                <a:srgbClr val="FF0000"/>
              </a:solidFill>
              <a:prstDash val="solid"/>
              <a:round/>
            </a:ln>
            <a:effectLst/>
            <a:sp3d contourW="60325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3)'!$K$1:$P$1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3)'!$K$3:$P$3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335349"/>
        <c:axId val="776173984"/>
      </c:barChart>
      <c:lineChart>
        <c:grouping val="standard"/>
        <c:varyColors val="0"/>
        <c:ser>
          <c:idx val="2"/>
          <c:order val="2"/>
          <c:tx>
            <c:strRef>
              <c:f>'Graphs(Q2 &amp; 3)'!$J$4</c:f>
              <c:strCache>
                <c:ptCount val="1"/>
                <c:pt idx="0">
                  <c:v>Off-
Boarding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</a:ln>
            <a:effectLst/>
            <a:sp3d contourW="508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3)'!$K$1:$P$1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3)'!$K$4:$P$4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27335349"/>
        <c:axId val="776173984"/>
      </c:lineChart>
      <c:catAx>
        <c:axId val="3273353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6173984"/>
        <c:crosses val="autoZero"/>
        <c:auto val="1"/>
        <c:lblAlgn val="ctr"/>
        <c:lblOffset val="100"/>
        <c:noMultiLvlLbl val="0"/>
      </c:catAx>
      <c:valAx>
        <c:axId val="7761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3353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4a9370-e907-41e7-91f6-33c8f775a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'Graphs(Q2 &amp; 3)'!$R$9</c:f>
              <c:strCache>
                <c:ptCount val="1"/>
                <c:pt idx="0">
                  <c:v>Onsite 
Team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3)'!$S$8:$X$8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3)'!$S$9:$X$9</c:f>
              <c:numCache>
                <c:formatCode>General</c:formatCode>
                <c:ptCount val="6"/>
                <c:pt idx="0">
                  <c:v>55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59</c:v>
                </c:pt>
                <c:pt idx="5">
                  <c:v>60</c:v>
                </c:pt>
              </c:numCache>
            </c:numRef>
          </c:val>
        </c:ser>
        <c:ser>
          <c:idx val="1"/>
          <c:order val="1"/>
          <c:tx>
            <c:strRef>
              <c:f>'Graphs(Q2 &amp; 3)'!$R$10</c:f>
              <c:strCache>
                <c:ptCount val="1"/>
                <c:pt idx="0">
                  <c:v>Offsite 
Team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3)'!$S$8:$X$8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3)'!$S$10:$X$10</c:f>
              <c:numCache>
                <c:formatCode>General</c:formatCode>
                <c:ptCount val="6"/>
                <c:pt idx="0">
                  <c:v>92</c:v>
                </c:pt>
                <c:pt idx="1">
                  <c:v>83</c:v>
                </c:pt>
                <c:pt idx="2">
                  <c:v>84</c:v>
                </c:pt>
                <c:pt idx="3">
                  <c:v>76</c:v>
                </c:pt>
                <c:pt idx="4">
                  <c:v>74</c:v>
                </c:pt>
                <c:pt idx="5">
                  <c:v>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323140"/>
        <c:axId val="997874046"/>
      </c:areaChart>
      <c:barChart>
        <c:barDir val="col"/>
        <c:grouping val="clustered"/>
        <c:varyColors val="0"/>
        <c:ser>
          <c:idx val="2"/>
          <c:order val="2"/>
          <c:tx>
            <c:strRef>
              <c:f>'Graphs(Q2 &amp; 3)'!$R$11</c:f>
              <c:strCache>
                <c:ptCount val="1"/>
                <c:pt idx="0">
                  <c:v>Total Team Size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3)'!$S$8:$X$8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3)'!$S$11:$X$11</c:f>
              <c:numCache>
                <c:formatCode>General</c:formatCode>
                <c:ptCount val="6"/>
                <c:pt idx="0">
                  <c:v>147</c:v>
                </c:pt>
                <c:pt idx="1">
                  <c:v>143</c:v>
                </c:pt>
                <c:pt idx="2">
                  <c:v>144</c:v>
                </c:pt>
                <c:pt idx="3">
                  <c:v>136</c:v>
                </c:pt>
                <c:pt idx="4">
                  <c:v>133</c:v>
                </c:pt>
                <c:pt idx="5">
                  <c:v>132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14323140"/>
        <c:axId val="997874046"/>
      </c:barChart>
      <c:catAx>
        <c:axId val="143231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874046"/>
        <c:crosses val="autoZero"/>
        <c:auto val="1"/>
        <c:lblAlgn val="ctr"/>
        <c:lblOffset val="100"/>
        <c:noMultiLvlLbl val="0"/>
      </c:catAx>
      <c:valAx>
        <c:axId val="9978740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231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489000-e18f-4665-8891-3e9520ab61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'Graphs(Q2 &amp; 3)'!$Z$2</c:f>
              <c:strCache>
                <c:ptCount val="1"/>
                <c:pt idx="0">
                  <c:v>Total Onsite Team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3)'!$AA$1:$AF$1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3)'!$AA$2:$AF$2</c:f>
              <c:numCache>
                <c:formatCode>General</c:formatCode>
                <c:ptCount val="6"/>
                <c:pt idx="0">
                  <c:v>55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59</c:v>
                </c:pt>
                <c:pt idx="5">
                  <c:v>60</c:v>
                </c:pt>
              </c:numCache>
            </c:numRef>
          </c:val>
        </c:ser>
        <c:ser>
          <c:idx val="1"/>
          <c:order val="1"/>
          <c:tx>
            <c:strRef>
              <c:f>'Graphs(Q2 &amp; 3)'!$Z$3</c:f>
              <c:strCache>
                <c:ptCount val="1"/>
                <c:pt idx="0">
                  <c:v>Onsite TM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3)'!$AA$1:$AF$1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3)'!$AA$3:$AF$3</c:f>
              <c:numCache>
                <c:formatCode>General</c:formatCode>
                <c:ptCount val="6"/>
                <c:pt idx="0">
                  <c:v>47</c:v>
                </c:pt>
                <c:pt idx="1">
                  <c:v>52</c:v>
                </c:pt>
                <c:pt idx="2">
                  <c:v>52</c:v>
                </c:pt>
                <c:pt idx="3">
                  <c:v>51</c:v>
                </c:pt>
                <c:pt idx="4">
                  <c:v>51</c:v>
                </c:pt>
                <c:pt idx="5">
                  <c:v>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004790"/>
        <c:axId val="720992376"/>
      </c:barChart>
      <c:lineChart>
        <c:grouping val="standard"/>
        <c:varyColors val="0"/>
        <c:ser>
          <c:idx val="2"/>
          <c:order val="2"/>
          <c:tx>
            <c:strRef>
              <c:f>'Graphs(Q2 &amp; 3)'!$Z$4</c:f>
              <c:strCache>
                <c:ptCount val="1"/>
                <c:pt idx="0">
                  <c:v>Onsite Leads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3)'!$AA$1:$AF$1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3)'!$AA$4:$AF$4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4534690"/>
        <c:axId val="87869013"/>
      </c:lineChart>
      <c:catAx>
        <c:axId val="2130047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92376"/>
        <c:crosses val="autoZero"/>
        <c:auto val="1"/>
        <c:lblAlgn val="ctr"/>
        <c:lblOffset val="100"/>
        <c:noMultiLvlLbl val="0"/>
      </c:catAx>
      <c:valAx>
        <c:axId val="72099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004790"/>
        <c:crosses val="autoZero"/>
        <c:crossBetween val="between"/>
      </c:valAx>
      <c:catAx>
        <c:axId val="9453469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69013"/>
        <c:crosses val="autoZero"/>
        <c:auto val="1"/>
        <c:lblAlgn val="ctr"/>
        <c:lblOffset val="100"/>
        <c:noMultiLvlLbl val="0"/>
      </c:catAx>
      <c:valAx>
        <c:axId val="8786901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3469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52cb2e-0f10-4879-9cf2-510920ffa4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500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'Graphs(Q2 &amp; 3)'!$AH$2</c:f>
              <c:strCache>
                <c:ptCount val="1"/>
                <c:pt idx="0">
                  <c:v>Offsite Team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3)'!$AI$1:$AN$1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3)'!$AI$2:$AN$2</c:f>
              <c:numCache>
                <c:formatCode>General</c:formatCode>
                <c:ptCount val="6"/>
                <c:pt idx="0">
                  <c:v>92</c:v>
                </c:pt>
                <c:pt idx="1">
                  <c:v>83</c:v>
                </c:pt>
                <c:pt idx="2">
                  <c:v>84</c:v>
                </c:pt>
                <c:pt idx="3">
                  <c:v>76</c:v>
                </c:pt>
                <c:pt idx="4">
                  <c:v>74</c:v>
                </c:pt>
                <c:pt idx="5">
                  <c:v>72</c:v>
                </c:pt>
              </c:numCache>
            </c:numRef>
          </c:val>
        </c:ser>
        <c:ser>
          <c:idx val="1"/>
          <c:order val="1"/>
          <c:tx>
            <c:strRef>
              <c:f>'Graphs(Q2 &amp; 3)'!$AH$3</c:f>
              <c:strCache>
                <c:ptCount val="1"/>
                <c:pt idx="0">
                  <c:v>Offsite TM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3)'!$AI$1:$AN$1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3)'!$AI$3:$AN$3</c:f>
              <c:numCache>
                <c:formatCode>General</c:formatCode>
                <c:ptCount val="6"/>
                <c:pt idx="0">
                  <c:v>73</c:v>
                </c:pt>
                <c:pt idx="1">
                  <c:v>66</c:v>
                </c:pt>
                <c:pt idx="2">
                  <c:v>66</c:v>
                </c:pt>
                <c:pt idx="3">
                  <c:v>59</c:v>
                </c:pt>
                <c:pt idx="4">
                  <c:v>56</c:v>
                </c:pt>
                <c:pt idx="5">
                  <c:v>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258284"/>
        <c:axId val="412402222"/>
      </c:barChart>
      <c:lineChart>
        <c:grouping val="standard"/>
        <c:varyColors val="0"/>
        <c:ser>
          <c:idx val="2"/>
          <c:order val="2"/>
          <c:tx>
            <c:strRef>
              <c:f>'Graphs(Q2 &amp; 3)'!$AH$4</c:f>
              <c:strCache>
                <c:ptCount val="1"/>
                <c:pt idx="0">
                  <c:v>Leads-Jr.</c:v>
                </c:pt>
              </c:strCache>
            </c:strRef>
          </c:tx>
          <c:spPr>
            <a:ln w="28575" cap="rnd">
              <a:solidFill>
                <a:schemeClr val="accent3">
                  <a:alpha val="81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3)'!$AI$1:$AN$1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3)'!$AI$4:$AN$4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'Graphs(Q2 &amp; 3)'!$AH$5</c:f>
              <c:strCache>
                <c:ptCount val="1"/>
                <c:pt idx="0">
                  <c:v>Leads-TL.</c:v>
                </c:pt>
              </c:strCache>
            </c:strRef>
          </c:tx>
          <c:spPr>
            <a:ln w="76200" cap="rnd">
              <a:solidFill>
                <a:schemeClr val="accent4"/>
              </a:solidFill>
              <a:round/>
            </a:ln>
            <a:effectLst/>
            <a:sp3d contourW="762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3)'!$AI$1:$AN$1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3)'!$AI$5:$AN$5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'Graphs(Q2 &amp; 3)'!$AH$6</c:f>
              <c:strCache>
                <c:ptCount val="1"/>
                <c:pt idx="0">
                  <c:v>Leads-PM.</c:v>
                </c:pt>
              </c:strCache>
            </c:strRef>
          </c:tx>
          <c:spPr>
            <a:ln w="117475" cap="rnd">
              <a:solidFill>
                <a:srgbClr val="FF0000">
                  <a:alpha val="42000"/>
                </a:srgbClr>
              </a:solidFill>
              <a:round/>
            </a:ln>
            <a:effectLst/>
            <a:sp3d contourW="117475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3)'!$AI$1:$AN$1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3)'!$AI$6:$AN$6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43496031"/>
        <c:axId val="442046940"/>
      </c:lineChart>
      <c:catAx>
        <c:axId val="1372582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2402222"/>
        <c:crosses val="autoZero"/>
        <c:auto val="1"/>
        <c:lblAlgn val="ctr"/>
        <c:lblOffset val="100"/>
        <c:noMultiLvlLbl val="0"/>
      </c:catAx>
      <c:valAx>
        <c:axId val="4124022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258284"/>
        <c:crosses val="autoZero"/>
        <c:crossBetween val="between"/>
      </c:valAx>
      <c:catAx>
        <c:axId val="34349603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2046940"/>
        <c:crosses val="autoZero"/>
        <c:auto val="1"/>
        <c:lblAlgn val="ctr"/>
        <c:lblOffset val="100"/>
        <c:noMultiLvlLbl val="0"/>
      </c:catAx>
      <c:valAx>
        <c:axId val="4420469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49603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11efcc-26e8-4597-abac-42ae70297c4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'Graphs(Q2 &amp; 3)'!$AP$2</c:f>
              <c:strCache>
                <c:ptCount val="1"/>
                <c:pt idx="0">
                  <c:v>Total Onsite Team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3)'!$AQ$1:$AV$1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3)'!$AQ$2:$AV$2</c:f>
              <c:numCache>
                <c:formatCode>General</c:formatCode>
                <c:ptCount val="6"/>
                <c:pt idx="0">
                  <c:v>55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59</c:v>
                </c:pt>
                <c:pt idx="5">
                  <c:v>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8870362"/>
        <c:axId val="859717624"/>
      </c:barChart>
      <c:lineChart>
        <c:grouping val="standard"/>
        <c:varyColors val="0"/>
        <c:ser>
          <c:idx val="1"/>
          <c:order val="1"/>
          <c:tx>
            <c:strRef>
              <c:f>'Graphs(Q2 &amp; 3)'!$AP$3</c:f>
              <c:strCache>
                <c:ptCount val="1"/>
                <c:pt idx="0">
                  <c:v>Onsite - Billable</c:v>
                </c:pt>
              </c:strCache>
            </c:strRef>
          </c:tx>
          <c:spPr>
            <a:ln w="127000" cap="rnd">
              <a:solidFill>
                <a:schemeClr val="accent2"/>
              </a:solidFill>
              <a:round/>
            </a:ln>
            <a:effectLst/>
            <a:sp3d contourW="1270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3)'!$AQ$1:$AV$1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3)'!$AQ$3:$AV$3</c:f>
              <c:numCache>
                <c:formatCode>General</c:formatCode>
                <c:ptCount val="6"/>
                <c:pt idx="0">
                  <c:v>52</c:v>
                </c:pt>
                <c:pt idx="1">
                  <c:v>58</c:v>
                </c:pt>
                <c:pt idx="2">
                  <c:v>57</c:v>
                </c:pt>
                <c:pt idx="3">
                  <c:v>57</c:v>
                </c:pt>
                <c:pt idx="4">
                  <c:v>56</c:v>
                </c:pt>
                <c:pt idx="5">
                  <c:v>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'Graphs(Q2 &amp; 3)'!$AP$4</c:f>
              <c:strCache>
                <c:ptCount val="1"/>
                <c:pt idx="0">
                  <c:v>Onsite - Non billable</c:v>
                </c:pt>
              </c:strCache>
            </c:strRef>
          </c:tx>
          <c:spPr>
            <a:ln w="127000" cap="rnd">
              <a:solidFill>
                <a:srgbClr val="FFC000"/>
              </a:solidFill>
              <a:round/>
            </a:ln>
            <a:effectLst/>
            <a:sp3d contourW="1270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3)'!$AQ$1:$AV$1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3)'!$AQ$4:$AV$4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88870362"/>
        <c:axId val="859717624"/>
      </c:lineChart>
      <c:catAx>
        <c:axId val="5888703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717624"/>
        <c:crosses val="autoZero"/>
        <c:auto val="1"/>
        <c:lblAlgn val="ctr"/>
        <c:lblOffset val="100"/>
        <c:noMultiLvlLbl val="0"/>
      </c:catAx>
      <c:valAx>
        <c:axId val="85971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8703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677846-7ab5-413c-ac77-eaae6c5cf1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'Graphs(Q2 &amp; 3)'!$BL$12</c:f>
              <c:strCache>
                <c:ptCount val="1"/>
                <c:pt idx="0">
                  <c:v>Appsec Utilization %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3)'!$BM$10:$BR$10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3)'!$BM$12:$BR$12</c:f>
              <c:numCache>
                <c:formatCode>General</c:formatCode>
                <c:ptCount val="6"/>
                <c:pt idx="0">
                  <c:v>52</c:v>
                </c:pt>
                <c:pt idx="1">
                  <c:v>57</c:v>
                </c:pt>
                <c:pt idx="2">
                  <c:v>65</c:v>
                </c:pt>
                <c:pt idx="3">
                  <c:v>45</c:v>
                </c:pt>
                <c:pt idx="4">
                  <c:v>52</c:v>
                </c:pt>
                <c:pt idx="5">
                  <c:v>71</c:v>
                </c:pt>
              </c:numCache>
            </c:numRef>
          </c:val>
        </c:ser>
        <c:ser>
          <c:idx val="3"/>
          <c:order val="3"/>
          <c:tx>
            <c:strRef>
              <c:f>'Graphs(Q2 &amp; 3)'!$BL$14</c:f>
              <c:strCache>
                <c:ptCount val="1"/>
                <c:pt idx="0">
                  <c:v>Mobile Utilization %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3)'!$BM$10:$BR$10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3)'!$BM$14:$BR$14</c:f>
              <c:numCache>
                <c:formatCode>General</c:formatCode>
                <c:ptCount val="6"/>
                <c:pt idx="0">
                  <c:v>48</c:v>
                </c:pt>
                <c:pt idx="1">
                  <c:v>49</c:v>
                </c:pt>
                <c:pt idx="2">
                  <c:v>26</c:v>
                </c:pt>
                <c:pt idx="3">
                  <c:v>17</c:v>
                </c:pt>
                <c:pt idx="4">
                  <c:v>47</c:v>
                </c:pt>
                <c:pt idx="5">
                  <c:v>73</c:v>
                </c:pt>
              </c:numCache>
            </c:numRef>
          </c:val>
        </c:ser>
        <c:ser>
          <c:idx val="5"/>
          <c:order val="5"/>
          <c:tx>
            <c:strRef>
              <c:f>'Graphs(Q2 &amp; 3)'!$BL$16</c:f>
              <c:strCache>
                <c:ptCount val="1"/>
                <c:pt idx="0">
                  <c:v>Infra Utilization %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3)'!$BM$10:$BR$10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3)'!$BM$16:$BR$16</c:f>
              <c:numCache>
                <c:formatCode>General</c:formatCode>
                <c:ptCount val="6"/>
                <c:pt idx="0">
                  <c:v>50</c:v>
                </c:pt>
                <c:pt idx="1">
                  <c:v>67</c:v>
                </c:pt>
                <c:pt idx="2">
                  <c:v>61</c:v>
                </c:pt>
                <c:pt idx="3">
                  <c:v>37</c:v>
                </c:pt>
                <c:pt idx="4">
                  <c:v>40</c:v>
                </c:pt>
                <c:pt idx="5">
                  <c:v>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0939666"/>
        <c:axId val="430306414"/>
      </c:barChart>
      <c:lineChart>
        <c:grouping val="standard"/>
        <c:varyColors val="0"/>
        <c:ser>
          <c:idx val="0"/>
          <c:order val="0"/>
          <c:tx>
            <c:strRef>
              <c:f>'Graphs(Q2 &amp; 3)'!$BL$11</c:f>
              <c:strCache>
                <c:ptCount val="1"/>
                <c:pt idx="0">
                  <c:v>Appsec Team Count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3)'!$BM$10:$BR$10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3)'!$BM$11:$BR$11</c:f>
              <c:numCache>
                <c:formatCode>General</c:formatCode>
                <c:ptCount val="6"/>
                <c:pt idx="0">
                  <c:v>37</c:v>
                </c:pt>
                <c:pt idx="1">
                  <c:v>34</c:v>
                </c:pt>
                <c:pt idx="2">
                  <c:v>38</c:v>
                </c:pt>
                <c:pt idx="3">
                  <c:v>35</c:v>
                </c:pt>
                <c:pt idx="4">
                  <c:v>35</c:v>
                </c:pt>
                <c:pt idx="5">
                  <c:v>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'Graphs(Q2 &amp; 3)'!$BL$13</c:f>
              <c:strCache>
                <c:ptCount val="1"/>
                <c:pt idx="0">
                  <c:v>Mobile Team Count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3)'!$BM$10:$BR$10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3)'!$BM$13:$BR$13</c:f>
              <c:numCache>
                <c:formatCode>General</c:formatCode>
                <c:ptCount val="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'Graphs(Q2 &amp; 3)'!$BL$15</c:f>
              <c:strCache>
                <c:ptCount val="1"/>
                <c:pt idx="0">
                  <c:v>Infra Team Count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3)'!$BM$10:$BR$10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3)'!$BM$15:$BR$15</c:f>
              <c:numCache>
                <c:formatCode>General</c:formatCode>
                <c:ptCount val="6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10939666"/>
        <c:axId val="430306414"/>
      </c:lineChart>
      <c:catAx>
        <c:axId val="7109396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306414"/>
        <c:crosses val="autoZero"/>
        <c:auto val="1"/>
        <c:lblAlgn val="ctr"/>
        <c:lblOffset val="100"/>
        <c:noMultiLvlLbl val="0"/>
      </c:catAx>
      <c:valAx>
        <c:axId val="43030641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9396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8080a0-9315-443d-979a-393457724e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'Graphs(Q2 &amp; 3)'!$CB$1</c:f>
              <c:strCache>
                <c:ptCount val="1"/>
                <c:pt idx="0">
                  <c:v>Jul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3)'!$CA$2:$CA$7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'Graphs(Q2 &amp; 3)'!$CB$2:$CB$7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35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'Graphs(Q2 &amp; 3)'!$CC$1</c:f>
              <c:strCache>
                <c:ptCount val="1"/>
                <c:pt idx="0">
                  <c:v>Aug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3)'!$CA$2:$CA$7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'Graphs(Q2 &amp; 3)'!$CC$2:$CC$7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0</c:v>
                </c:pt>
                <c:pt idx="4">
                  <c:v>24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'Graphs(Q2 &amp; 3)'!$CD$1</c:f>
              <c:strCache>
                <c:ptCount val="1"/>
                <c:pt idx="0">
                  <c:v>Sep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3)'!$CA$2:$CA$7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'Graphs(Q2 &amp; 3)'!$CD$2:$CD$7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16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'Graphs(Q2 &amp; 3)'!$CE$1</c:f>
              <c:strCache>
                <c:ptCount val="1"/>
                <c:pt idx="0">
                  <c:v>Oct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3)'!$CA$2:$CA$7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'Graphs(Q2 &amp; 3)'!$CE$2:$CE$7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8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</c:ser>
        <c:ser>
          <c:idx val="4"/>
          <c:order val="4"/>
          <c:tx>
            <c:strRef>
              <c:f>'Graphs(Q2 &amp; 3)'!$CF$1</c:f>
              <c:strCache>
                <c:ptCount val="1"/>
                <c:pt idx="0">
                  <c:v>Nov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3)'!$CA$2:$CA$7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'Graphs(Q2 &amp; 3)'!$CF$2:$CF$7</c:f>
              <c:numCache>
                <c:formatCode>General</c:formatCode>
                <c:ptCount val="6"/>
                <c:pt idx="0">
                  <c:v>0</c:v>
                </c:pt>
                <c:pt idx="1">
                  <c:v>14</c:v>
                </c:pt>
                <c:pt idx="2">
                  <c:v>44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'Graphs(Q2 &amp; 3)'!$CG$1</c:f>
              <c:strCache>
                <c:ptCount val="1"/>
                <c:pt idx="0">
                  <c:v>Dec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3)'!$CA$2:$CA$7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'Graphs(Q2 &amp; 3)'!$CG$2:$CG$7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100"/>
        <c:axId val="864215979"/>
        <c:axId val="49821461"/>
      </c:barChart>
      <c:catAx>
        <c:axId val="8642159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21461"/>
        <c:crosses val="autoZero"/>
        <c:auto val="1"/>
        <c:lblAlgn val="ctr"/>
        <c:lblOffset val="100"/>
        <c:noMultiLvlLbl val="0"/>
      </c:catAx>
      <c:valAx>
        <c:axId val="498214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42159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0c4ad7-3e72-4448-b470-0865979cbb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'Graphs(Q2 &amp; 3)'!$CI$2</c:f>
              <c:strCache>
                <c:ptCount val="1"/>
                <c:pt idx="0">
                  <c:v>Infra-VA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3)'!$CJ$1:$CO$1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3)'!$CJ$2:$CO$2</c:f>
              <c:numCache>
                <c:formatCode>General</c:formatCode>
                <c:ptCount val="6"/>
                <c:pt idx="0">
                  <c:v>71</c:v>
                </c:pt>
                <c:pt idx="1">
                  <c:v>142</c:v>
                </c:pt>
                <c:pt idx="2">
                  <c:v>11</c:v>
                </c:pt>
                <c:pt idx="3">
                  <c:v>0</c:v>
                </c:pt>
                <c:pt idx="4">
                  <c:v>1100</c:v>
                </c:pt>
                <c:pt idx="5">
                  <c:v>98</c:v>
                </c:pt>
              </c:numCache>
            </c:numRef>
          </c:val>
        </c:ser>
        <c:ser>
          <c:idx val="1"/>
          <c:order val="1"/>
          <c:tx>
            <c:strRef>
              <c:f>'Graphs(Q2 &amp; 3)'!$CI$3</c:f>
              <c:strCache>
                <c:ptCount val="1"/>
                <c:pt idx="0">
                  <c:v>Infra-CA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3)'!$CJ$1:$CO$1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3)'!$CJ$3:$CO$3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'Graphs(Q2 &amp; 3)'!$CI$4</c:f>
              <c:strCache>
                <c:ptCount val="1"/>
                <c:pt idx="0">
                  <c:v>Infra-PT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3)'!$CJ$1:$CO$1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3)'!$CJ$4:$CO$4</c:f>
              <c:numCache>
                <c:formatCode>General</c:formatCode>
                <c:ptCount val="6"/>
                <c:pt idx="0">
                  <c:v>1</c:v>
                </c:pt>
                <c:pt idx="1">
                  <c:v>374</c:v>
                </c:pt>
                <c:pt idx="2">
                  <c:v>174</c:v>
                </c:pt>
                <c:pt idx="3">
                  <c:v>12</c:v>
                </c:pt>
                <c:pt idx="4">
                  <c:v>387</c:v>
                </c:pt>
                <c:pt idx="5">
                  <c:v>45</c:v>
                </c:pt>
              </c:numCache>
            </c:numRef>
          </c:val>
        </c:ser>
        <c:ser>
          <c:idx val="3"/>
          <c:order val="3"/>
          <c:tx>
            <c:strRef>
              <c:f>'Graphs(Q2 &amp; 3)'!$CI$5</c:f>
              <c:strCache>
                <c:ptCount val="1"/>
                <c:pt idx="0">
                  <c:v>SCD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3)'!$CJ$1:$CO$1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3)'!$CJ$5:$CO$5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'Graphs(Q2 &amp; 3)'!$CI$6</c:f>
              <c:strCache>
                <c:ptCount val="1"/>
                <c:pt idx="0">
                  <c:v>Firewall Rulebase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'Graphs(Q2 &amp; 3)'!$CJ$1:$CO$1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'Graphs(Q2 &amp; 3)'!$CJ$6:$CO$6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69770060"/>
        <c:axId val="207759203"/>
      </c:barChart>
      <c:catAx>
        <c:axId val="9697700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759203"/>
        <c:crosses val="autoZero"/>
        <c:auto val="1"/>
        <c:lblAlgn val="ctr"/>
        <c:lblOffset val="100"/>
        <c:noMultiLvlLbl val="0"/>
      </c:catAx>
      <c:valAx>
        <c:axId val="207759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7700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cfaf13-4d49-4208-848b-371e8fb96c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(Q4)'!$B$2</c:f>
              <c:strCache>
                <c:ptCount val="1"/>
                <c:pt idx="0">
                  <c:v>Total Team 
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(Q4)'!$C$1:$H$1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(Q4)'!$C$2:$H$2</c:f>
              <c:numCache>
                <c:formatCode>General</c:formatCode>
                <c:ptCount val="6"/>
                <c:pt idx="0">
                  <c:v>147</c:v>
                </c:pt>
                <c:pt idx="1">
                  <c:v>143</c:v>
                </c:pt>
                <c:pt idx="2">
                  <c:v>144</c:v>
                </c:pt>
                <c:pt idx="3">
                  <c:v>136</c:v>
                </c:pt>
                <c:pt idx="4">
                  <c:v>133</c:v>
                </c:pt>
                <c:pt idx="5">
                  <c:v>132</c:v>
                </c:pt>
              </c:numCache>
            </c:numRef>
          </c:val>
        </c:ser>
        <c:ser>
          <c:idx val="1"/>
          <c:order val="1"/>
          <c:tx>
            <c:strRef>
              <c:f>'Graphs (Q4)'!$B$3</c:f>
              <c:strCache>
                <c:ptCount val="1"/>
                <c:pt idx="0">
                  <c:v>On-
Boarding</c:v>
                </c:pt>
              </c:strCache>
            </c:strRef>
          </c:tx>
          <c:spPr>
            <a:solidFill>
              <a:srgbClr val="FF0000"/>
            </a:solidFill>
            <a:ln w="60325" cmpd="sng">
              <a:solidFill>
                <a:srgbClr val="FF0000"/>
              </a:solidFill>
              <a:prstDash val="solid"/>
              <a:round/>
            </a:ln>
            <a:effectLst/>
            <a:sp3d contourW="60325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(Q4)'!$C$1:$H$1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(Q4)'!$C$3:$H$3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335349"/>
        <c:axId val="776173984"/>
      </c:barChart>
      <c:lineChart>
        <c:grouping val="standard"/>
        <c:varyColors val="0"/>
        <c:ser>
          <c:idx val="2"/>
          <c:order val="2"/>
          <c:tx>
            <c:strRef>
              <c:f>'Graphs (Q4)'!$B$4</c:f>
              <c:strCache>
                <c:ptCount val="1"/>
                <c:pt idx="0">
                  <c:v>Off-
Boarding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</a:ln>
            <a:effectLst/>
            <a:sp3d contourW="508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(Q4)'!$C$1:$H$1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(Q4)'!$C$4:$H$4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27335349"/>
        <c:axId val="776173984"/>
      </c:lineChart>
      <c:catAx>
        <c:axId val="3273353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6173984"/>
        <c:crosses val="autoZero"/>
        <c:auto val="1"/>
        <c:lblAlgn val="ctr"/>
        <c:lblOffset val="100"/>
        <c:noMultiLvlLbl val="0"/>
      </c:catAx>
      <c:valAx>
        <c:axId val="7761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3353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4a9370-e907-41e7-91f6-33c8f775a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'Graphs (Q4)'!$J$9</c:f>
              <c:strCache>
                <c:ptCount val="1"/>
                <c:pt idx="0">
                  <c:v>Onsite 
Team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(Q4)'!$K$8:$P$8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(Q4)'!$K$9:$P$9</c:f>
              <c:numCache>
                <c:formatCode>General</c:formatCode>
                <c:ptCount val="6"/>
                <c:pt idx="0">
                  <c:v>55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59</c:v>
                </c:pt>
                <c:pt idx="5">
                  <c:v>60</c:v>
                </c:pt>
              </c:numCache>
            </c:numRef>
          </c:val>
        </c:ser>
        <c:ser>
          <c:idx val="1"/>
          <c:order val="1"/>
          <c:tx>
            <c:strRef>
              <c:f>'Graphs (Q4)'!$J$10</c:f>
              <c:strCache>
                <c:ptCount val="1"/>
                <c:pt idx="0">
                  <c:v>Offsite 
Team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(Q4)'!$K$8:$P$8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(Q4)'!$K$10:$P$10</c:f>
              <c:numCache>
                <c:formatCode>General</c:formatCode>
                <c:ptCount val="6"/>
                <c:pt idx="0">
                  <c:v>92</c:v>
                </c:pt>
                <c:pt idx="1">
                  <c:v>83</c:v>
                </c:pt>
                <c:pt idx="2">
                  <c:v>84</c:v>
                </c:pt>
                <c:pt idx="3">
                  <c:v>76</c:v>
                </c:pt>
                <c:pt idx="4">
                  <c:v>74</c:v>
                </c:pt>
                <c:pt idx="5">
                  <c:v>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323140"/>
        <c:axId val="997874046"/>
      </c:areaChart>
      <c:barChart>
        <c:barDir val="col"/>
        <c:grouping val="clustered"/>
        <c:varyColors val="0"/>
        <c:ser>
          <c:idx val="2"/>
          <c:order val="2"/>
          <c:tx>
            <c:strRef>
              <c:f>'Graphs (Q4)'!$J$11</c:f>
              <c:strCache>
                <c:ptCount val="1"/>
                <c:pt idx="0">
                  <c:v>Total Team Size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(Q4)'!$K$8:$P$8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(Q4)'!$K$11:$P$11</c:f>
              <c:numCache>
                <c:formatCode>General</c:formatCode>
                <c:ptCount val="6"/>
                <c:pt idx="0">
                  <c:v>147</c:v>
                </c:pt>
                <c:pt idx="1">
                  <c:v>143</c:v>
                </c:pt>
                <c:pt idx="2">
                  <c:v>144</c:v>
                </c:pt>
                <c:pt idx="3">
                  <c:v>136</c:v>
                </c:pt>
                <c:pt idx="4">
                  <c:v>133</c:v>
                </c:pt>
                <c:pt idx="5">
                  <c:v>132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14323140"/>
        <c:axId val="997874046"/>
      </c:barChart>
      <c:catAx>
        <c:axId val="143231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874046"/>
        <c:crosses val="autoZero"/>
        <c:auto val="1"/>
        <c:lblAlgn val="ctr"/>
        <c:lblOffset val="100"/>
        <c:noMultiLvlLbl val="0"/>
      </c:catAx>
      <c:valAx>
        <c:axId val="9978740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3231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489000-e18f-4665-8891-3e9520ab61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(Q4)'!$R$2</c:f>
              <c:strCache>
                <c:ptCount val="1"/>
                <c:pt idx="0">
                  <c:v>Total Onsite Team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(Q4)'!$S$1:$X$1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(Q4)'!$S$2:$X$2</c:f>
              <c:numCache>
                <c:formatCode>General</c:formatCode>
                <c:ptCount val="6"/>
                <c:pt idx="0">
                  <c:v>55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59</c:v>
                </c:pt>
                <c:pt idx="5">
                  <c:v>60</c:v>
                </c:pt>
              </c:numCache>
            </c:numRef>
          </c:val>
        </c:ser>
        <c:ser>
          <c:idx val="1"/>
          <c:order val="1"/>
          <c:tx>
            <c:strRef>
              <c:f>'Graphs (Q4)'!$R$3</c:f>
              <c:strCache>
                <c:ptCount val="1"/>
                <c:pt idx="0">
                  <c:v>Onsite TM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(Q4)'!$S$1:$X$1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(Q4)'!$S$3:$X$3</c:f>
              <c:numCache>
                <c:formatCode>General</c:formatCode>
                <c:ptCount val="6"/>
                <c:pt idx="0">
                  <c:v>47</c:v>
                </c:pt>
                <c:pt idx="1">
                  <c:v>52</c:v>
                </c:pt>
                <c:pt idx="2">
                  <c:v>52</c:v>
                </c:pt>
                <c:pt idx="3">
                  <c:v>51</c:v>
                </c:pt>
                <c:pt idx="4">
                  <c:v>51</c:v>
                </c:pt>
                <c:pt idx="5">
                  <c:v>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004790"/>
        <c:axId val="720992376"/>
      </c:barChart>
      <c:lineChart>
        <c:grouping val="standard"/>
        <c:varyColors val="0"/>
        <c:ser>
          <c:idx val="2"/>
          <c:order val="2"/>
          <c:tx>
            <c:strRef>
              <c:f>'Graphs (Q4)'!$R$4</c:f>
              <c:strCache>
                <c:ptCount val="1"/>
                <c:pt idx="0">
                  <c:v>Onsite Leads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(Q4)'!$S$1:$X$1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(Q4)'!$S$4:$X$4</c:f>
              <c:numCache>
                <c:formatCode>General</c:formatCode>
                <c:ptCount val="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4534690"/>
        <c:axId val="87869013"/>
      </c:lineChart>
      <c:catAx>
        <c:axId val="2130047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92376"/>
        <c:crosses val="autoZero"/>
        <c:auto val="1"/>
        <c:lblAlgn val="ctr"/>
        <c:lblOffset val="100"/>
        <c:noMultiLvlLbl val="0"/>
      </c:catAx>
      <c:valAx>
        <c:axId val="72099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004790"/>
        <c:crosses val="autoZero"/>
        <c:crossBetween val="between"/>
      </c:valAx>
      <c:catAx>
        <c:axId val="9453469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69013"/>
        <c:crosses val="autoZero"/>
        <c:auto val="1"/>
        <c:lblAlgn val="ctr"/>
        <c:lblOffset val="100"/>
        <c:noMultiLvlLbl val="0"/>
      </c:catAx>
      <c:valAx>
        <c:axId val="8786901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53469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52cb2e-0f10-4879-9cf2-510920ffa4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 sz="1500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(Q4)'!$Z$2</c:f>
              <c:strCache>
                <c:ptCount val="1"/>
                <c:pt idx="0">
                  <c:v>Offsite Team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(Q4)'!$AA$1:$AF$1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(Q4)'!$AA$2:$AF$2</c:f>
              <c:numCache>
                <c:formatCode>General</c:formatCode>
                <c:ptCount val="6"/>
                <c:pt idx="0">
                  <c:v>92</c:v>
                </c:pt>
                <c:pt idx="1">
                  <c:v>83</c:v>
                </c:pt>
                <c:pt idx="2">
                  <c:v>84</c:v>
                </c:pt>
                <c:pt idx="3">
                  <c:v>76</c:v>
                </c:pt>
                <c:pt idx="4">
                  <c:v>74</c:v>
                </c:pt>
                <c:pt idx="5">
                  <c:v>72</c:v>
                </c:pt>
              </c:numCache>
            </c:numRef>
          </c:val>
        </c:ser>
        <c:ser>
          <c:idx val="1"/>
          <c:order val="1"/>
          <c:tx>
            <c:strRef>
              <c:f>'Graphs (Q4)'!$Z$3</c:f>
              <c:strCache>
                <c:ptCount val="1"/>
                <c:pt idx="0">
                  <c:v>Offsite TM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(Q4)'!$AA$1:$AF$1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(Q4)'!$AA$3:$AF$3</c:f>
              <c:numCache>
                <c:formatCode>General</c:formatCode>
                <c:ptCount val="6"/>
                <c:pt idx="0">
                  <c:v>73</c:v>
                </c:pt>
                <c:pt idx="1">
                  <c:v>66</c:v>
                </c:pt>
                <c:pt idx="2">
                  <c:v>66</c:v>
                </c:pt>
                <c:pt idx="3">
                  <c:v>59</c:v>
                </c:pt>
                <c:pt idx="4">
                  <c:v>56</c:v>
                </c:pt>
                <c:pt idx="5">
                  <c:v>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258284"/>
        <c:axId val="412402222"/>
      </c:barChart>
      <c:lineChart>
        <c:grouping val="standard"/>
        <c:varyColors val="0"/>
        <c:ser>
          <c:idx val="2"/>
          <c:order val="2"/>
          <c:tx>
            <c:strRef>
              <c:f>'Graphs (Q4)'!$Z$4</c:f>
              <c:strCache>
                <c:ptCount val="1"/>
                <c:pt idx="0">
                  <c:v>Leads-Jr.</c:v>
                </c:pt>
              </c:strCache>
            </c:strRef>
          </c:tx>
          <c:spPr>
            <a:ln w="28575" cap="rnd">
              <a:solidFill>
                <a:schemeClr val="accent3">
                  <a:alpha val="81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(Q4)'!$AA$1:$AF$1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(Q4)'!$AA$4:$AF$4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'Graphs (Q4)'!$Z$5</c:f>
              <c:strCache>
                <c:ptCount val="1"/>
                <c:pt idx="0">
                  <c:v>Leads-TL.</c:v>
                </c:pt>
              </c:strCache>
            </c:strRef>
          </c:tx>
          <c:spPr>
            <a:ln w="76200" cap="rnd">
              <a:solidFill>
                <a:schemeClr val="accent4"/>
              </a:solidFill>
              <a:round/>
            </a:ln>
            <a:effectLst/>
            <a:sp3d contourW="762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(Q4)'!$AA$1:$AF$1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(Q4)'!$AA$5:$AF$5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'Graphs (Q4)'!$Z$6</c:f>
              <c:strCache>
                <c:ptCount val="1"/>
                <c:pt idx="0">
                  <c:v>Leads-PM.</c:v>
                </c:pt>
              </c:strCache>
            </c:strRef>
          </c:tx>
          <c:spPr>
            <a:ln w="117475" cap="rnd">
              <a:solidFill>
                <a:srgbClr val="FF0000">
                  <a:alpha val="42000"/>
                </a:srgbClr>
              </a:solidFill>
              <a:round/>
            </a:ln>
            <a:effectLst/>
            <a:sp3d contourW="117475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(Q4)'!$AA$1:$AF$1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(Q4)'!$AA$6:$AF$6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343496031"/>
        <c:axId val="442046940"/>
      </c:lineChart>
      <c:catAx>
        <c:axId val="1372582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2402222"/>
        <c:crosses val="autoZero"/>
        <c:auto val="1"/>
        <c:lblAlgn val="ctr"/>
        <c:lblOffset val="100"/>
        <c:noMultiLvlLbl val="0"/>
      </c:catAx>
      <c:valAx>
        <c:axId val="4124022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258284"/>
        <c:crosses val="autoZero"/>
        <c:crossBetween val="between"/>
      </c:valAx>
      <c:catAx>
        <c:axId val="34349603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2046940"/>
        <c:crosses val="autoZero"/>
        <c:auto val="1"/>
        <c:lblAlgn val="ctr"/>
        <c:lblOffset val="100"/>
        <c:noMultiLvlLbl val="0"/>
      </c:catAx>
      <c:valAx>
        <c:axId val="4420469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49603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11efcc-26e8-4597-abac-42ae70297c4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(Q4)'!$AH$2</c:f>
              <c:strCache>
                <c:ptCount val="1"/>
                <c:pt idx="0">
                  <c:v>Total Onsite Team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(Q4)'!$AI$1:$AN$1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(Q4)'!$AI$2:$AN$2</c:f>
              <c:numCache>
                <c:formatCode>General</c:formatCode>
                <c:ptCount val="6"/>
                <c:pt idx="0">
                  <c:v>55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59</c:v>
                </c:pt>
                <c:pt idx="5">
                  <c:v>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8870362"/>
        <c:axId val="859717624"/>
      </c:barChart>
      <c:lineChart>
        <c:grouping val="standard"/>
        <c:varyColors val="0"/>
        <c:ser>
          <c:idx val="1"/>
          <c:order val="1"/>
          <c:tx>
            <c:strRef>
              <c:f>'Graphs (Q4)'!$AH$3</c:f>
              <c:strCache>
                <c:ptCount val="1"/>
                <c:pt idx="0">
                  <c:v>Onsite - Billable</c:v>
                </c:pt>
              </c:strCache>
            </c:strRef>
          </c:tx>
          <c:spPr>
            <a:ln w="127000" cap="rnd">
              <a:solidFill>
                <a:schemeClr val="accent2"/>
              </a:solidFill>
              <a:round/>
            </a:ln>
            <a:effectLst/>
            <a:sp3d contourW="1270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(Q4)'!$AI$1:$AN$1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(Q4)'!$AI$3:$AN$3</c:f>
              <c:numCache>
                <c:formatCode>General</c:formatCode>
                <c:ptCount val="6"/>
                <c:pt idx="0">
                  <c:v>52</c:v>
                </c:pt>
                <c:pt idx="1">
                  <c:v>58</c:v>
                </c:pt>
                <c:pt idx="2">
                  <c:v>57</c:v>
                </c:pt>
                <c:pt idx="3">
                  <c:v>57</c:v>
                </c:pt>
                <c:pt idx="4">
                  <c:v>56</c:v>
                </c:pt>
                <c:pt idx="5">
                  <c:v>58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'Graphs (Q4)'!$AH$4</c:f>
              <c:strCache>
                <c:ptCount val="1"/>
                <c:pt idx="0">
                  <c:v>Onsite - Non billable</c:v>
                </c:pt>
              </c:strCache>
            </c:strRef>
          </c:tx>
          <c:spPr>
            <a:ln w="127000" cap="rnd">
              <a:solidFill>
                <a:srgbClr val="FFC000"/>
              </a:solidFill>
              <a:round/>
            </a:ln>
            <a:effectLst/>
            <a:sp3d contourW="127000"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(Q4)'!$AI$1:$AN$1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(Q4)'!$AI$4:$AN$4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88870362"/>
        <c:axId val="859717624"/>
      </c:lineChart>
      <c:catAx>
        <c:axId val="5888703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717624"/>
        <c:crosses val="autoZero"/>
        <c:auto val="1"/>
        <c:lblAlgn val="ctr"/>
        <c:lblOffset val="100"/>
        <c:noMultiLvlLbl val="0"/>
      </c:catAx>
      <c:valAx>
        <c:axId val="859717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88703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677846-7ab5-413c-ac77-eaae6c5cf1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'Graphs (Q4)'!$BD$12</c:f>
              <c:strCache>
                <c:ptCount val="1"/>
                <c:pt idx="0">
                  <c:v>Appsec Utilization %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(Q4)'!$BE$10:$BJ$10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(Q4)'!$BE$12:$BJ$12</c:f>
              <c:numCache>
                <c:formatCode>General</c:formatCode>
                <c:ptCount val="6"/>
                <c:pt idx="0">
                  <c:v>52</c:v>
                </c:pt>
                <c:pt idx="1">
                  <c:v>57</c:v>
                </c:pt>
                <c:pt idx="2">
                  <c:v>65</c:v>
                </c:pt>
                <c:pt idx="3">
                  <c:v>45</c:v>
                </c:pt>
                <c:pt idx="4">
                  <c:v>52</c:v>
                </c:pt>
                <c:pt idx="5">
                  <c:v>71</c:v>
                </c:pt>
              </c:numCache>
            </c:numRef>
          </c:val>
        </c:ser>
        <c:ser>
          <c:idx val="3"/>
          <c:order val="3"/>
          <c:tx>
            <c:strRef>
              <c:f>'Graphs (Q4)'!$BD$14</c:f>
              <c:strCache>
                <c:ptCount val="1"/>
                <c:pt idx="0">
                  <c:v>Mobile Utilization %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(Q4)'!$BE$10:$BJ$10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(Q4)'!$BE$14:$BJ$14</c:f>
              <c:numCache>
                <c:formatCode>General</c:formatCode>
                <c:ptCount val="6"/>
                <c:pt idx="0">
                  <c:v>48</c:v>
                </c:pt>
                <c:pt idx="1">
                  <c:v>49</c:v>
                </c:pt>
                <c:pt idx="2">
                  <c:v>26</c:v>
                </c:pt>
                <c:pt idx="3">
                  <c:v>17</c:v>
                </c:pt>
                <c:pt idx="4">
                  <c:v>47</c:v>
                </c:pt>
                <c:pt idx="5">
                  <c:v>73</c:v>
                </c:pt>
              </c:numCache>
            </c:numRef>
          </c:val>
        </c:ser>
        <c:ser>
          <c:idx val="5"/>
          <c:order val="5"/>
          <c:tx>
            <c:strRef>
              <c:f>'Graphs (Q4)'!$BD$16</c:f>
              <c:strCache>
                <c:ptCount val="1"/>
                <c:pt idx="0">
                  <c:v>Infra Utilization %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(Q4)'!$BE$10:$BJ$10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(Q4)'!$BE$16:$BJ$16</c:f>
              <c:numCache>
                <c:formatCode>General</c:formatCode>
                <c:ptCount val="6"/>
                <c:pt idx="0">
                  <c:v>50</c:v>
                </c:pt>
                <c:pt idx="1">
                  <c:v>67</c:v>
                </c:pt>
                <c:pt idx="2">
                  <c:v>61</c:v>
                </c:pt>
                <c:pt idx="3">
                  <c:v>37</c:v>
                </c:pt>
                <c:pt idx="4">
                  <c:v>40</c:v>
                </c:pt>
                <c:pt idx="5">
                  <c:v>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0939666"/>
        <c:axId val="430306414"/>
      </c:barChart>
      <c:lineChart>
        <c:grouping val="standard"/>
        <c:varyColors val="0"/>
        <c:ser>
          <c:idx val="0"/>
          <c:order val="0"/>
          <c:tx>
            <c:strRef>
              <c:f>'Graphs (Q4)'!$BD$11</c:f>
              <c:strCache>
                <c:ptCount val="1"/>
                <c:pt idx="0">
                  <c:v>Appsec Team Count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(Q4)'!$BE$10:$BJ$10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(Q4)'!$BE$11:$BJ$11</c:f>
              <c:numCache>
                <c:formatCode>General</c:formatCode>
                <c:ptCount val="6"/>
                <c:pt idx="0">
                  <c:v>37</c:v>
                </c:pt>
                <c:pt idx="1">
                  <c:v>34</c:v>
                </c:pt>
                <c:pt idx="2">
                  <c:v>38</c:v>
                </c:pt>
                <c:pt idx="3">
                  <c:v>35</c:v>
                </c:pt>
                <c:pt idx="4">
                  <c:v>35</c:v>
                </c:pt>
                <c:pt idx="5">
                  <c:v>30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'Graphs (Q4)'!$BD$13</c:f>
              <c:strCache>
                <c:ptCount val="1"/>
                <c:pt idx="0">
                  <c:v>Mobile Team Count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(Q4)'!$BE$10:$BJ$10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(Q4)'!$BE$13:$BJ$13</c:f>
              <c:numCache>
                <c:formatCode>General</c:formatCode>
                <c:ptCount val="6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'Graphs (Q4)'!$BD$15</c:f>
              <c:strCache>
                <c:ptCount val="1"/>
                <c:pt idx="0">
                  <c:v>Infra Team Count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(Q4)'!$BE$10:$BJ$10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(Q4)'!$BE$15:$BJ$15</c:f>
              <c:numCache>
                <c:formatCode>General</c:formatCode>
                <c:ptCount val="6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10939666"/>
        <c:axId val="430306414"/>
      </c:lineChart>
      <c:catAx>
        <c:axId val="7109396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0306414"/>
        <c:crosses val="autoZero"/>
        <c:auto val="1"/>
        <c:lblAlgn val="ctr"/>
        <c:lblOffset val="100"/>
        <c:noMultiLvlLbl val="0"/>
      </c:catAx>
      <c:valAx>
        <c:axId val="43030641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9396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8080a0-9315-443d-979a-393457724e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'Graphs (Q4)'!$BT$1</c:f>
              <c:strCache>
                <c:ptCount val="1"/>
                <c:pt idx="0">
                  <c:v>Jul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(Q4)'!$BS$2:$BS$7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 (Q4)'!$BT$2:$BT$7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35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'Graphs (Q4)'!$BU$1</c:f>
              <c:strCache>
                <c:ptCount val="1"/>
                <c:pt idx="0">
                  <c:v>Aug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(Q4)'!$BS$2:$BS$7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 (Q4)'!$BU$2:$BU$7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0</c:v>
                </c:pt>
                <c:pt idx="4">
                  <c:v>24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'Graphs (Q4)'!$BV$1</c:f>
              <c:strCache>
                <c:ptCount val="1"/>
                <c:pt idx="0">
                  <c:v>Sep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(Q4)'!$BS$2:$BS$7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 (Q4)'!$BV$2:$BV$7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16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'Graphs (Q4)'!$BW$1</c:f>
              <c:strCache>
                <c:ptCount val="1"/>
                <c:pt idx="0">
                  <c:v>Oct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(Q4)'!$BS$2:$BS$7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 (Q4)'!$BW$2:$BW$7</c:f>
              <c:numCache>
                <c:formatCode>General</c:formatCode>
                <c:ptCount val="6"/>
                <c:pt idx="0">
                  <c:v>4</c:v>
                </c:pt>
                <c:pt idx="1">
                  <c:v>0</c:v>
                </c:pt>
                <c:pt idx="2">
                  <c:v>8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</c:ser>
        <c:ser>
          <c:idx val="4"/>
          <c:order val="4"/>
          <c:tx>
            <c:strRef>
              <c:f>'Graphs (Q4)'!$BX$1</c:f>
              <c:strCache>
                <c:ptCount val="1"/>
                <c:pt idx="0">
                  <c:v>Nov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54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(Q4)'!$BS$2:$BS$7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 (Q4)'!$BX$2:$BX$7</c:f>
              <c:numCache>
                <c:formatCode>General</c:formatCode>
                <c:ptCount val="6"/>
                <c:pt idx="0">
                  <c:v>0</c:v>
                </c:pt>
                <c:pt idx="1">
                  <c:v>14</c:v>
                </c:pt>
                <c:pt idx="2">
                  <c:v>44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'Graphs (Q4)'!$BY$1</c:f>
              <c:strCache>
                <c:ptCount val="1"/>
                <c:pt idx="0">
                  <c:v>Dec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54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(Q4)'!$BS$2:$BS$7</c:f>
              <c:strCache>
                <c:ptCount val="6"/>
                <c:pt idx="0">
                  <c:v>Mob</c:v>
                </c:pt>
                <c:pt idx="1">
                  <c:v>API</c:v>
                </c:pt>
                <c:pt idx="2">
                  <c:v>Web</c:v>
                </c:pt>
                <c:pt idx="3">
                  <c:v>Thick Client</c:v>
                </c:pt>
                <c:pt idx="4">
                  <c:v>SCR</c:v>
                </c:pt>
                <c:pt idx="5">
                  <c:v>Red Team</c:v>
                </c:pt>
              </c:strCache>
            </c:strRef>
          </c:cat>
          <c:val>
            <c:numRef>
              <c:f>'Graphs (Q4)'!$BY$2:$BY$7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6"/>
        <c:overlap val="100"/>
        <c:axId val="864215979"/>
        <c:axId val="49821461"/>
      </c:barChart>
      <c:catAx>
        <c:axId val="8642159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821461"/>
        <c:crosses val="autoZero"/>
        <c:auto val="1"/>
        <c:lblAlgn val="ctr"/>
        <c:lblOffset val="100"/>
        <c:noMultiLvlLbl val="0"/>
      </c:catAx>
      <c:valAx>
        <c:axId val="498214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42159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0c4ad7-3e72-4448-b470-0865979cbb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(Q4)'!$CA$2</c:f>
              <c:strCache>
                <c:ptCount val="1"/>
                <c:pt idx="0">
                  <c:v>Infra-VA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(Q4)'!$CB$1:$CG$1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(Q4)'!$CB$2:$CG$2</c:f>
              <c:numCache>
                <c:formatCode>General</c:formatCode>
                <c:ptCount val="6"/>
                <c:pt idx="0">
                  <c:v>71</c:v>
                </c:pt>
                <c:pt idx="1">
                  <c:v>142</c:v>
                </c:pt>
                <c:pt idx="2">
                  <c:v>11</c:v>
                </c:pt>
                <c:pt idx="3">
                  <c:v>0</c:v>
                </c:pt>
                <c:pt idx="4">
                  <c:v>1100</c:v>
                </c:pt>
                <c:pt idx="5">
                  <c:v>98</c:v>
                </c:pt>
              </c:numCache>
            </c:numRef>
          </c:val>
        </c:ser>
        <c:ser>
          <c:idx val="1"/>
          <c:order val="1"/>
          <c:tx>
            <c:strRef>
              <c:f>'Graphs (Q4)'!$CA$3</c:f>
              <c:strCache>
                <c:ptCount val="1"/>
                <c:pt idx="0">
                  <c:v>Infra-CA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(Q4)'!$CB$1:$CG$1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(Q4)'!$CB$3:$CG$3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'Graphs (Q4)'!$CA$4</c:f>
              <c:strCache>
                <c:ptCount val="1"/>
                <c:pt idx="0">
                  <c:v>Infra-PT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(Q4)'!$CB$1:$CG$1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(Q4)'!$CB$4:$CG$4</c:f>
              <c:numCache>
                <c:formatCode>General</c:formatCode>
                <c:ptCount val="6"/>
                <c:pt idx="0">
                  <c:v>1</c:v>
                </c:pt>
                <c:pt idx="1">
                  <c:v>374</c:v>
                </c:pt>
                <c:pt idx="2">
                  <c:v>174</c:v>
                </c:pt>
                <c:pt idx="3">
                  <c:v>12</c:v>
                </c:pt>
                <c:pt idx="4">
                  <c:v>387</c:v>
                </c:pt>
                <c:pt idx="5">
                  <c:v>45</c:v>
                </c:pt>
              </c:numCache>
            </c:numRef>
          </c:val>
        </c:ser>
        <c:ser>
          <c:idx val="3"/>
          <c:order val="3"/>
          <c:tx>
            <c:strRef>
              <c:f>'Graphs (Q4)'!$CA$5</c:f>
              <c:strCache>
                <c:ptCount val="1"/>
                <c:pt idx="0">
                  <c:v>SCD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(Q4)'!$CB$1:$CG$1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(Q4)'!$CB$5:$CG$5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'Graphs (Q4)'!$CA$6</c:f>
              <c:strCache>
                <c:ptCount val="1"/>
                <c:pt idx="0">
                  <c:v>Firewall Rulebase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(Q4)'!$CB$1:$CG$1</c:f>
              <c:strCache>
                <c:ptCount val="6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  <c:pt idx="4">
                  <c:v>Nov</c:v>
                </c:pt>
                <c:pt idx="5">
                  <c:v>Dec</c:v>
                </c:pt>
              </c:strCache>
            </c:strRef>
          </c:cat>
          <c:val>
            <c:numRef>
              <c:f>'Graphs (Q4)'!$CB$6:$CG$6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69770060"/>
        <c:axId val="207759203"/>
      </c:barChart>
      <c:catAx>
        <c:axId val="9697700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759203"/>
        <c:crosses val="autoZero"/>
        <c:auto val="1"/>
        <c:lblAlgn val="ctr"/>
        <c:lblOffset val="100"/>
        <c:noMultiLvlLbl val="0"/>
      </c:catAx>
      <c:valAx>
        <c:axId val="207759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97700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cfaf13-4d49-4208-848b-371e8fb96c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'Graphs (Q4)'!$B$22</c:f>
              <c:strCache>
                <c:ptCount val="1"/>
                <c:pt idx="0">
                  <c:v>Total Team 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(Q4)'!$C$21:$E$21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'Graphs (Q4)'!$C$22:$E$22</c:f>
              <c:numCache>
                <c:formatCode>General</c:formatCode>
                <c:ptCount val="3"/>
                <c:pt idx="0">
                  <c:v>128</c:v>
                </c:pt>
                <c:pt idx="1">
                  <c:v>126</c:v>
                </c:pt>
                <c:pt idx="2">
                  <c:v>123</c:v>
                </c:pt>
              </c:numCache>
            </c:numRef>
          </c:val>
        </c:ser>
        <c:ser>
          <c:idx val="1"/>
          <c:order val="1"/>
          <c:tx>
            <c:strRef>
              <c:f>'Graphs (Q4)'!$B$23</c:f>
              <c:strCache>
                <c:ptCount val="1"/>
                <c:pt idx="0">
                  <c:v>On-Boarding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(Q4)'!$C$21:$E$21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'Graphs (Q4)'!$C$23:$E$23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6497582"/>
        <c:axId val="326353675"/>
      </c:barChart>
      <c:lineChart>
        <c:grouping val="standard"/>
        <c:varyColors val="0"/>
        <c:ser>
          <c:idx val="2"/>
          <c:order val="2"/>
          <c:tx>
            <c:strRef>
              <c:f>'Graphs (Q4)'!$B$24</c:f>
              <c:strCache>
                <c:ptCount val="1"/>
                <c:pt idx="0">
                  <c:v>Off-Boarding</c:v>
                </c:pt>
              </c:strCache>
            </c:strRef>
          </c:tx>
          <c:spPr>
            <a:ln w="41275" cap="rnd">
              <a:solidFill>
                <a:srgbClr val="002060"/>
              </a:solidFill>
              <a:round/>
            </a:ln>
            <a:effectLst/>
            <a:sp3d contourW="41275"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spPr>
              <a:ln w="41275" cap="rnd" cmpd="sng">
                <a:solidFill>
                  <a:srgbClr val="002060"/>
                </a:solidFill>
                <a:prstDash val="solid"/>
                <a:round/>
              </a:ln>
              <a:effectLst/>
              <a:sp3d contourW="4127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(Q4)'!$C$21:$E$21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'Graphs (Q4)'!$C$24:$E$24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986497582"/>
        <c:axId val="326353675"/>
      </c:lineChart>
      <c:catAx>
        <c:axId val="9864975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6353675"/>
        <c:crosses val="autoZero"/>
        <c:auto val="1"/>
        <c:lblAlgn val="ctr"/>
        <c:lblOffset val="100"/>
        <c:noMultiLvlLbl val="0"/>
      </c:catAx>
      <c:valAx>
        <c:axId val="3263536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49758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7caabf-8250-4133-82cd-6b692c7f19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'Graphs (Q4)'!$J$23</c:f>
              <c:strCache>
                <c:ptCount val="1"/>
                <c:pt idx="0">
                  <c:v>Offsite Team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"/>
                  <c:y val="-0.163839181966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1708110620497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77814283243991"/>
                  <c:y val="-0.1568673018824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(Q4)'!$K$21:$M$21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'Graphs (Q4)'!$K$23:$M$23</c:f>
              <c:numCache>
                <c:formatCode>General</c:formatCode>
                <c:ptCount val="3"/>
                <c:pt idx="0">
                  <c:v>65</c:v>
                </c:pt>
                <c:pt idx="1">
                  <c:v>63</c:v>
                </c:pt>
                <c:pt idx="2">
                  <c:v>63</c:v>
                </c:pt>
              </c:numCache>
            </c:numRef>
          </c:val>
        </c:ser>
        <c:ser>
          <c:idx val="2"/>
          <c:order val="2"/>
          <c:tx>
            <c:strRef>
              <c:f>'Graphs (Q4)'!$J$24</c:f>
              <c:strCache>
                <c:ptCount val="1"/>
                <c:pt idx="0">
                  <c:v>Onsite Team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-0.00518761888293273"/>
                  <c:y val="-0.07320474087845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259380944146637"/>
                  <c:y val="-0.07669068092028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259380944146637"/>
                  <c:y val="-0.07320474087845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(Q4)'!$K$21:$M$21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'Graphs (Q4)'!$K$24:$M$24</c:f>
              <c:numCache>
                <c:formatCode>General</c:formatCode>
                <c:ptCount val="3"/>
                <c:pt idx="0">
                  <c:v>63</c:v>
                </c:pt>
                <c:pt idx="1">
                  <c:v>63</c:v>
                </c:pt>
                <c:pt idx="2">
                  <c:v>60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27716722"/>
        <c:axId val="214804387"/>
      </c:areaChart>
      <c:barChart>
        <c:barDir val="col"/>
        <c:grouping val="clustered"/>
        <c:varyColors val="0"/>
        <c:ser>
          <c:idx val="0"/>
          <c:order val="0"/>
          <c:tx>
            <c:strRef>
              <c:f>'Graphs (Q4)'!$J$22</c:f>
              <c:strCache>
                <c:ptCount val="1"/>
                <c:pt idx="0">
                  <c:v>Total Team 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(Q4)'!$K$21:$M$21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'Graphs (Q4)'!$K$22:$M$22</c:f>
              <c:numCache>
                <c:formatCode>General</c:formatCode>
                <c:ptCount val="3"/>
                <c:pt idx="0">
                  <c:v>128</c:v>
                </c:pt>
                <c:pt idx="1">
                  <c:v>126</c:v>
                </c:pt>
                <c:pt idx="2">
                  <c:v>123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716722"/>
        <c:axId val="214804387"/>
      </c:barChart>
      <c:catAx>
        <c:axId val="4277167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804387"/>
        <c:crosses val="autoZero"/>
        <c:auto val="1"/>
        <c:lblAlgn val="ctr"/>
        <c:lblOffset val="100"/>
        <c:noMultiLvlLbl val="0"/>
      </c:catAx>
      <c:valAx>
        <c:axId val="2148043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71672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9a61ba-1cdd-49f3-acf9-9c57d91a17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3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3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7" Type="http://schemas.openxmlformats.org/officeDocument/2006/relationships/chart" Target="../charts/chart9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9.xml"/><Relationship Id="rId8" Type="http://schemas.openxmlformats.org/officeDocument/2006/relationships/chart" Target="../charts/chart18.xml"/><Relationship Id="rId7" Type="http://schemas.openxmlformats.org/officeDocument/2006/relationships/chart" Target="../charts/chart17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0" Type="http://schemas.openxmlformats.org/officeDocument/2006/relationships/chart" Target="../charts/chart20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327025</xdr:colOff>
      <xdr:row>7</xdr:row>
      <xdr:rowOff>50800</xdr:rowOff>
    </xdr:from>
    <xdr:to>
      <xdr:col>5</xdr:col>
      <xdr:colOff>76835</xdr:colOff>
      <xdr:row>19</xdr:row>
      <xdr:rowOff>12700</xdr:rowOff>
    </xdr:to>
    <xdr:graphicFrame>
      <xdr:nvGraphicFramePr>
        <xdr:cNvPr id="2" name="Chart 1"/>
        <xdr:cNvGraphicFramePr/>
      </xdr:nvGraphicFramePr>
      <xdr:xfrm>
        <a:off x="327025" y="1670050"/>
        <a:ext cx="2988310" cy="2257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98425</xdr:colOff>
      <xdr:row>6</xdr:row>
      <xdr:rowOff>61595</xdr:rowOff>
    </xdr:from>
    <xdr:to>
      <xdr:col>12</xdr:col>
      <xdr:colOff>524510</xdr:colOff>
      <xdr:row>17</xdr:row>
      <xdr:rowOff>127635</xdr:rowOff>
    </xdr:to>
    <xdr:graphicFrame>
      <xdr:nvGraphicFramePr>
        <xdr:cNvPr id="3" name="Chart 2"/>
        <xdr:cNvGraphicFramePr/>
      </xdr:nvGraphicFramePr>
      <xdr:xfrm>
        <a:off x="3584575" y="1480820"/>
        <a:ext cx="4788535" cy="2180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477520</xdr:colOff>
      <xdr:row>5</xdr:row>
      <xdr:rowOff>3175</xdr:rowOff>
    </xdr:from>
    <xdr:to>
      <xdr:col>15</xdr:col>
      <xdr:colOff>391795</xdr:colOff>
      <xdr:row>15</xdr:row>
      <xdr:rowOff>189865</xdr:rowOff>
    </xdr:to>
    <xdr:graphicFrame>
      <xdr:nvGraphicFramePr>
        <xdr:cNvPr id="3" name="Chart 2"/>
        <xdr:cNvGraphicFramePr/>
      </xdr:nvGraphicFramePr>
      <xdr:xfrm>
        <a:off x="7101840" y="2651125"/>
        <a:ext cx="3985895" cy="5025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575310</xdr:colOff>
      <xdr:row>6</xdr:row>
      <xdr:rowOff>226060</xdr:rowOff>
    </xdr:from>
    <xdr:to>
      <xdr:col>24</xdr:col>
      <xdr:colOff>63500</xdr:colOff>
      <xdr:row>15</xdr:row>
      <xdr:rowOff>178435</xdr:rowOff>
    </xdr:to>
    <xdr:graphicFrame>
      <xdr:nvGraphicFramePr>
        <xdr:cNvPr id="8" name="Chart 7"/>
        <xdr:cNvGraphicFramePr/>
      </xdr:nvGraphicFramePr>
      <xdr:xfrm>
        <a:off x="11734800" y="3483610"/>
        <a:ext cx="5217160" cy="4181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41910</xdr:colOff>
      <xdr:row>4</xdr:row>
      <xdr:rowOff>322580</xdr:rowOff>
    </xdr:from>
    <xdr:to>
      <xdr:col>31</xdr:col>
      <xdr:colOff>567055</xdr:colOff>
      <xdr:row>14</xdr:row>
      <xdr:rowOff>30480</xdr:rowOff>
    </xdr:to>
    <xdr:graphicFrame>
      <xdr:nvGraphicFramePr>
        <xdr:cNvPr id="10" name="Chart 9"/>
        <xdr:cNvGraphicFramePr/>
      </xdr:nvGraphicFramePr>
      <xdr:xfrm>
        <a:off x="17539970" y="2360930"/>
        <a:ext cx="4620895" cy="4708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55880</xdr:colOff>
      <xdr:row>6</xdr:row>
      <xdr:rowOff>180975</xdr:rowOff>
    </xdr:from>
    <xdr:to>
      <xdr:col>40</xdr:col>
      <xdr:colOff>30480</xdr:colOff>
      <xdr:row>16</xdr:row>
      <xdr:rowOff>197485</xdr:rowOff>
    </xdr:to>
    <xdr:graphicFrame>
      <xdr:nvGraphicFramePr>
        <xdr:cNvPr id="13" name="Chart 12"/>
        <xdr:cNvGraphicFramePr/>
      </xdr:nvGraphicFramePr>
      <xdr:xfrm>
        <a:off x="22868890" y="3438525"/>
        <a:ext cx="4241800" cy="46932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628015</xdr:colOff>
      <xdr:row>5</xdr:row>
      <xdr:rowOff>273685</xdr:rowOff>
    </xdr:from>
    <xdr:to>
      <xdr:col>47</xdr:col>
      <xdr:colOff>798830</xdr:colOff>
      <xdr:row>15</xdr:row>
      <xdr:rowOff>26035</xdr:rowOff>
    </xdr:to>
    <xdr:graphicFrame>
      <xdr:nvGraphicFramePr>
        <xdr:cNvPr id="14" name="Chart 13"/>
        <xdr:cNvGraphicFramePr/>
      </xdr:nvGraphicFramePr>
      <xdr:xfrm>
        <a:off x="28317825" y="2921635"/>
        <a:ext cx="4826000" cy="4591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70</xdr:col>
      <xdr:colOff>390525</xdr:colOff>
      <xdr:row>9</xdr:row>
      <xdr:rowOff>493395</xdr:rowOff>
    </xdr:from>
    <xdr:to>
      <xdr:col>77</xdr:col>
      <xdr:colOff>92075</xdr:colOff>
      <xdr:row>15</xdr:row>
      <xdr:rowOff>112395</xdr:rowOff>
    </xdr:to>
    <xdr:graphicFrame>
      <xdr:nvGraphicFramePr>
        <xdr:cNvPr id="26" name="Chart 25"/>
        <xdr:cNvGraphicFramePr/>
      </xdr:nvGraphicFramePr>
      <xdr:xfrm>
        <a:off x="57222390" y="5055870"/>
        <a:ext cx="4823460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78</xdr:col>
      <xdr:colOff>38100</xdr:colOff>
      <xdr:row>7</xdr:row>
      <xdr:rowOff>365125</xdr:rowOff>
    </xdr:from>
    <xdr:to>
      <xdr:col>85</xdr:col>
      <xdr:colOff>156210</xdr:colOff>
      <xdr:row>11</xdr:row>
      <xdr:rowOff>993775</xdr:rowOff>
    </xdr:to>
    <xdr:graphicFrame>
      <xdr:nvGraphicFramePr>
        <xdr:cNvPr id="27" name="Chart 26"/>
        <xdr:cNvGraphicFramePr/>
      </xdr:nvGraphicFramePr>
      <xdr:xfrm>
        <a:off x="62601475" y="4032250"/>
        <a:ext cx="4823460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85</xdr:col>
      <xdr:colOff>316230</xdr:colOff>
      <xdr:row>7</xdr:row>
      <xdr:rowOff>396240</xdr:rowOff>
    </xdr:from>
    <xdr:to>
      <xdr:col>93</xdr:col>
      <xdr:colOff>265430</xdr:colOff>
      <xdr:row>12</xdr:row>
      <xdr:rowOff>15240</xdr:rowOff>
    </xdr:to>
    <xdr:graphicFrame>
      <xdr:nvGraphicFramePr>
        <xdr:cNvPr id="2" name="Chart 1"/>
        <xdr:cNvGraphicFramePr/>
      </xdr:nvGraphicFramePr>
      <xdr:xfrm>
        <a:off x="67584955" y="4063365"/>
        <a:ext cx="4826000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85090</xdr:colOff>
      <xdr:row>6</xdr:row>
      <xdr:rowOff>146050</xdr:rowOff>
    </xdr:from>
    <xdr:to>
      <xdr:col>7</xdr:col>
      <xdr:colOff>391160</xdr:colOff>
      <xdr:row>13</xdr:row>
      <xdr:rowOff>83820</xdr:rowOff>
    </xdr:to>
    <xdr:graphicFrame>
      <xdr:nvGraphicFramePr>
        <xdr:cNvPr id="2" name="Chart 1"/>
        <xdr:cNvGraphicFramePr/>
      </xdr:nvGraphicFramePr>
      <xdr:xfrm>
        <a:off x="580390" y="2717800"/>
        <a:ext cx="4253865" cy="2138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574675</xdr:colOff>
      <xdr:row>6</xdr:row>
      <xdr:rowOff>131445</xdr:rowOff>
    </xdr:from>
    <xdr:to>
      <xdr:col>16</xdr:col>
      <xdr:colOff>62865</xdr:colOff>
      <xdr:row>13</xdr:row>
      <xdr:rowOff>176530</xdr:rowOff>
    </xdr:to>
    <xdr:graphicFrame>
      <xdr:nvGraphicFramePr>
        <xdr:cNvPr id="3" name="Chart 2"/>
        <xdr:cNvGraphicFramePr/>
      </xdr:nvGraphicFramePr>
      <xdr:xfrm>
        <a:off x="5481320" y="2703195"/>
        <a:ext cx="5217160" cy="2245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41910</xdr:colOff>
      <xdr:row>6</xdr:row>
      <xdr:rowOff>56515</xdr:rowOff>
    </xdr:from>
    <xdr:to>
      <xdr:col>23</xdr:col>
      <xdr:colOff>565785</xdr:colOff>
      <xdr:row>13</xdr:row>
      <xdr:rowOff>135890</xdr:rowOff>
    </xdr:to>
    <xdr:graphicFrame>
      <xdr:nvGraphicFramePr>
        <xdr:cNvPr id="4" name="Chart 3"/>
        <xdr:cNvGraphicFramePr/>
      </xdr:nvGraphicFramePr>
      <xdr:xfrm>
        <a:off x="11287125" y="2628265"/>
        <a:ext cx="4619625" cy="227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55245</xdr:colOff>
      <xdr:row>6</xdr:row>
      <xdr:rowOff>86360</xdr:rowOff>
    </xdr:from>
    <xdr:to>
      <xdr:col>32</xdr:col>
      <xdr:colOff>29210</xdr:colOff>
      <xdr:row>13</xdr:row>
      <xdr:rowOff>196850</xdr:rowOff>
    </xdr:to>
    <xdr:graphicFrame>
      <xdr:nvGraphicFramePr>
        <xdr:cNvPr id="5" name="Chart 4"/>
        <xdr:cNvGraphicFramePr/>
      </xdr:nvGraphicFramePr>
      <xdr:xfrm>
        <a:off x="16615410" y="2658110"/>
        <a:ext cx="4689475" cy="2310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141605</xdr:colOff>
      <xdr:row>6</xdr:row>
      <xdr:rowOff>76200</xdr:rowOff>
    </xdr:from>
    <xdr:to>
      <xdr:col>39</xdr:col>
      <xdr:colOff>1060450</xdr:colOff>
      <xdr:row>13</xdr:row>
      <xdr:rowOff>172085</xdr:rowOff>
    </xdr:to>
    <xdr:graphicFrame>
      <xdr:nvGraphicFramePr>
        <xdr:cNvPr id="6" name="Chart 5"/>
        <xdr:cNvGraphicFramePr/>
      </xdr:nvGraphicFramePr>
      <xdr:xfrm>
        <a:off x="22026880" y="2647950"/>
        <a:ext cx="5574030" cy="229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62</xdr:col>
      <xdr:colOff>262890</xdr:colOff>
      <xdr:row>9</xdr:row>
      <xdr:rowOff>493395</xdr:rowOff>
    </xdr:from>
    <xdr:to>
      <xdr:col>68</xdr:col>
      <xdr:colOff>1428750</xdr:colOff>
      <xdr:row>14</xdr:row>
      <xdr:rowOff>419735</xdr:rowOff>
    </xdr:to>
    <xdr:graphicFrame>
      <xdr:nvGraphicFramePr>
        <xdr:cNvPr id="7" name="Chart 6"/>
        <xdr:cNvGraphicFramePr/>
      </xdr:nvGraphicFramePr>
      <xdr:xfrm>
        <a:off x="52016025" y="4114800"/>
        <a:ext cx="5594985" cy="1296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70</xdr:col>
      <xdr:colOff>37465</xdr:colOff>
      <xdr:row>8</xdr:row>
      <xdr:rowOff>36830</xdr:rowOff>
    </xdr:from>
    <xdr:to>
      <xdr:col>77</xdr:col>
      <xdr:colOff>155575</xdr:colOff>
      <xdr:row>11</xdr:row>
      <xdr:rowOff>993775</xdr:rowOff>
    </xdr:to>
    <xdr:graphicFrame>
      <xdr:nvGraphicFramePr>
        <xdr:cNvPr id="8" name="Chart 7"/>
        <xdr:cNvGraphicFramePr/>
      </xdr:nvGraphicFramePr>
      <xdr:xfrm>
        <a:off x="58293635" y="3265805"/>
        <a:ext cx="4823460" cy="1287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77</xdr:col>
      <xdr:colOff>372745</xdr:colOff>
      <xdr:row>9</xdr:row>
      <xdr:rowOff>26035</xdr:rowOff>
    </xdr:from>
    <xdr:to>
      <xdr:col>85</xdr:col>
      <xdr:colOff>321945</xdr:colOff>
      <xdr:row>14</xdr:row>
      <xdr:rowOff>176530</xdr:rowOff>
    </xdr:to>
    <xdr:graphicFrame>
      <xdr:nvGraphicFramePr>
        <xdr:cNvPr id="9" name="Chart 8"/>
        <xdr:cNvGraphicFramePr/>
      </xdr:nvGraphicFramePr>
      <xdr:xfrm>
        <a:off x="63334265" y="3702685"/>
        <a:ext cx="6626225" cy="1464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140970</xdr:colOff>
      <xdr:row>25</xdr:row>
      <xdr:rowOff>31750</xdr:rowOff>
    </xdr:from>
    <xdr:to>
      <xdr:col>7</xdr:col>
      <xdr:colOff>1270</xdr:colOff>
      <xdr:row>36</xdr:row>
      <xdr:rowOff>144145</xdr:rowOff>
    </xdr:to>
    <xdr:graphicFrame>
      <xdr:nvGraphicFramePr>
        <xdr:cNvPr id="10" name="Chart 9"/>
        <xdr:cNvGraphicFramePr/>
      </xdr:nvGraphicFramePr>
      <xdr:xfrm>
        <a:off x="636270" y="9226550"/>
        <a:ext cx="3808095" cy="25126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415925</xdr:colOff>
      <xdr:row>24</xdr:row>
      <xdr:rowOff>175260</xdr:rowOff>
    </xdr:from>
    <xdr:to>
      <xdr:col>13</xdr:col>
      <xdr:colOff>182880</xdr:colOff>
      <xdr:row>36</xdr:row>
      <xdr:rowOff>107315</xdr:rowOff>
    </xdr:to>
    <xdr:graphicFrame>
      <xdr:nvGraphicFramePr>
        <xdr:cNvPr id="12" name="Chart 11"/>
        <xdr:cNvGraphicFramePr/>
      </xdr:nvGraphicFramePr>
      <xdr:xfrm>
        <a:off x="5322570" y="8970010"/>
        <a:ext cx="3667125" cy="2732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9"/>
  <sheetViews>
    <sheetView tabSelected="1" workbookViewId="0">
      <selection activeCell="B6" sqref="B6"/>
    </sheetView>
  </sheetViews>
  <sheetFormatPr defaultColWidth="9.14285714285714" defaultRowHeight="15"/>
  <cols>
    <col min="1" max="1" width="7.14285714285714" customWidth="1"/>
    <col min="2" max="2" width="16.4285714285714" customWidth="1"/>
    <col min="3" max="4" width="8.57142857142857" customWidth="1"/>
    <col min="5" max="5" width="7.85714285714286" customWidth="1"/>
    <col min="6" max="6" width="3.71428571428571" customWidth="1"/>
    <col min="7" max="7" width="19.7142857142857" customWidth="1"/>
  </cols>
  <sheetData>
    <row r="1" ht="15.75"/>
    <row r="2" ht="32.25" spans="2:13">
      <c r="B2" s="250" t="s">
        <v>0</v>
      </c>
      <c r="C2" s="251" t="s">
        <v>1</v>
      </c>
      <c r="D2" s="251" t="s">
        <v>2</v>
      </c>
      <c r="E2" s="252" t="s">
        <v>3</v>
      </c>
      <c r="G2" s="253" t="s">
        <v>4</v>
      </c>
      <c r="H2" s="254" t="s">
        <v>5</v>
      </c>
      <c r="I2" s="254" t="s">
        <v>6</v>
      </c>
      <c r="J2" s="254" t="s">
        <v>7</v>
      </c>
      <c r="K2" s="254" t="s">
        <v>8</v>
      </c>
      <c r="L2" s="254" t="s">
        <v>9</v>
      </c>
      <c r="M2" s="254" t="s">
        <v>1</v>
      </c>
    </row>
    <row r="3" ht="16.5" spans="2:13">
      <c r="B3" s="255" t="s">
        <v>10</v>
      </c>
      <c r="C3" s="256">
        <v>30</v>
      </c>
      <c r="D3" s="256">
        <v>4</v>
      </c>
      <c r="E3" s="257">
        <v>26</v>
      </c>
      <c r="G3" s="258" t="s">
        <v>11</v>
      </c>
      <c r="H3" s="259">
        <v>2</v>
      </c>
      <c r="I3" s="259">
        <v>9</v>
      </c>
      <c r="J3" s="259">
        <v>2</v>
      </c>
      <c r="K3" s="259">
        <v>6</v>
      </c>
      <c r="L3" s="259">
        <v>7</v>
      </c>
      <c r="M3" s="259">
        <v>7</v>
      </c>
    </row>
    <row r="4" ht="15.75" spans="2:13">
      <c r="B4" s="260" t="s">
        <v>12</v>
      </c>
      <c r="C4" s="261">
        <v>21</v>
      </c>
      <c r="D4" s="261">
        <v>4</v>
      </c>
      <c r="E4" s="262">
        <v>17</v>
      </c>
      <c r="G4" s="263" t="s">
        <v>13</v>
      </c>
      <c r="H4" s="264">
        <v>0</v>
      </c>
      <c r="I4" s="264">
        <v>1</v>
      </c>
      <c r="J4" s="264">
        <v>0</v>
      </c>
      <c r="K4" s="264">
        <v>0</v>
      </c>
      <c r="L4" s="264">
        <v>2</v>
      </c>
      <c r="M4" s="264">
        <v>1</v>
      </c>
    </row>
    <row r="5" ht="15.75" spans="2:13">
      <c r="B5" s="265" t="s">
        <v>14</v>
      </c>
      <c r="C5" s="266">
        <v>6</v>
      </c>
      <c r="D5" s="266">
        <v>0</v>
      </c>
      <c r="E5" s="267">
        <v>6</v>
      </c>
      <c r="G5" s="263" t="s">
        <v>15</v>
      </c>
      <c r="H5" s="264">
        <v>2</v>
      </c>
      <c r="I5" s="264">
        <v>8</v>
      </c>
      <c r="J5" s="264">
        <v>2</v>
      </c>
      <c r="K5" s="264">
        <v>6</v>
      </c>
      <c r="L5" s="264">
        <v>5</v>
      </c>
      <c r="M5" s="264">
        <v>6</v>
      </c>
    </row>
    <row r="6" ht="15.75" spans="2:5">
      <c r="B6" s="268" t="s">
        <v>16</v>
      </c>
      <c r="C6" s="269">
        <v>3</v>
      </c>
      <c r="D6" s="269">
        <v>0</v>
      </c>
      <c r="E6" s="270">
        <v>3</v>
      </c>
    </row>
    <row r="7" ht="15.75" spans="7:9">
      <c r="G7" s="271"/>
      <c r="H7" s="37"/>
      <c r="I7" s="37"/>
    </row>
    <row r="8" ht="15.75" spans="7:9">
      <c r="G8" s="271"/>
      <c r="H8" s="37"/>
      <c r="I8" s="37"/>
    </row>
    <row r="9" spans="7:9">
      <c r="G9" s="37"/>
      <c r="H9" s="37"/>
      <c r="I9" s="37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81"/>
  <sheetViews>
    <sheetView zoomScale="50" zoomScaleNormal="50" workbookViewId="0">
      <selection activeCell="CF18" sqref="CF18"/>
    </sheetView>
  </sheetViews>
  <sheetFormatPr defaultColWidth="9.14285714285714" defaultRowHeight="15.75"/>
  <cols>
    <col min="1" max="1" width="23.7142857142857" style="74" customWidth="1"/>
    <col min="2" max="2" width="7.57142857142857" style="74" customWidth="1"/>
    <col min="3" max="3" width="14.1428571428571" style="74" customWidth="1"/>
    <col min="4" max="4" width="15" style="74" customWidth="1"/>
    <col min="5" max="5" width="9.57142857142857" style="74" customWidth="1"/>
    <col min="6" max="6" width="7.57142857142857" style="74" customWidth="1"/>
    <col min="7" max="7" width="17.1428571428571" style="74" customWidth="1"/>
    <col min="8" max="8" width="4.63809523809524" style="74" customWidth="1"/>
    <col min="9" max="9" width="7.42857142857143" style="74" customWidth="1"/>
    <col min="10" max="10" width="14.4285714285714" style="74" customWidth="1"/>
    <col min="11" max="11" width="7.85714285714286" style="74" customWidth="1"/>
    <col min="12" max="12" width="7.28571428571429" style="74" customWidth="1"/>
    <col min="13" max="13" width="8" style="74" customWidth="1"/>
    <col min="14" max="14" width="7.85714285714286" style="74" customWidth="1"/>
    <col min="15" max="15" width="8.20952380952381" style="74" customWidth="1"/>
    <col min="16" max="16" width="6.95238095238095" style="74" customWidth="1"/>
    <col min="17" max="17" width="9.1047619047619" style="74" customWidth="1"/>
    <col min="18" max="18" width="21.9619047619048" style="74" customWidth="1"/>
    <col min="19" max="25" width="9.14285714285714" style="74"/>
    <col min="26" max="26" width="15.7142857142857" style="74" customWidth="1"/>
    <col min="27" max="41" width="9.14285714285714" style="74"/>
    <col min="42" max="42" width="24.1047619047619" style="74" customWidth="1"/>
    <col min="43" max="47" width="9.14285714285714" style="74"/>
    <col min="48" max="48" width="17.1428571428571" style="74" customWidth="1"/>
    <col min="49" max="49" width="9.14285714285714" style="74"/>
    <col min="50" max="50" width="20.8857142857143" style="74" customWidth="1"/>
    <col min="51" max="51" width="8.75238095238095" style="74" customWidth="1"/>
    <col min="52" max="52" width="4.28571428571429" style="74" customWidth="1"/>
    <col min="53" max="53" width="6.6" style="74" customWidth="1"/>
    <col min="54" max="54" width="5.8952380952381" style="74" customWidth="1"/>
    <col min="55" max="55" width="56.9619047619048" style="74" customWidth="1"/>
    <col min="56" max="56" width="9.14285714285714" style="74"/>
    <col min="57" max="57" width="28.2095238095238" style="74" customWidth="1"/>
    <col min="58" max="58" width="14.6380952380952" style="74" customWidth="1"/>
    <col min="59" max="61" width="9.14285714285714" style="74"/>
    <col min="62" max="62" width="69.5714285714286" style="74" customWidth="1"/>
    <col min="63" max="63" width="9.14285714285714" style="74"/>
    <col min="64" max="64" width="24.6" style="74" customWidth="1"/>
    <col min="65" max="76" width="9.14285714285714" style="74"/>
    <col min="77" max="77" width="21.9619047619048" style="74" customWidth="1"/>
    <col min="78" max="78" width="9.14285714285714" style="74"/>
    <col min="79" max="79" width="15.7142857142857" style="74" customWidth="1"/>
    <col min="80" max="94" width="9.14285714285714" style="74"/>
    <col min="95" max="95" width="11.4285714285714" style="75" customWidth="1"/>
    <col min="96" max="96" width="9.14285714285714" style="75"/>
    <col min="97" max="97" width="19.5238095238095" style="75" customWidth="1"/>
    <col min="98" max="98" width="16.0285714285714" style="75" customWidth="1"/>
    <col min="99" max="99" width="11.8952380952381" style="75" customWidth="1"/>
    <col min="100" max="100" width="2.85714285714286" style="75" customWidth="1"/>
    <col min="101" max="101" width="12.2190476190476" style="75" customWidth="1"/>
    <col min="102" max="104" width="9.14285714285714" style="75"/>
    <col min="105" max="16384" width="9.14285714285714" style="74"/>
  </cols>
  <sheetData>
    <row r="1" ht="48" spans="1:104">
      <c r="A1" s="186" t="s">
        <v>17</v>
      </c>
      <c r="B1" s="186" t="s">
        <v>5</v>
      </c>
      <c r="C1" s="186" t="s">
        <v>6</v>
      </c>
      <c r="D1" s="186" t="s">
        <v>7</v>
      </c>
      <c r="E1" s="186" t="s">
        <v>8</v>
      </c>
      <c r="F1" s="186" t="s">
        <v>9</v>
      </c>
      <c r="G1" s="186" t="s">
        <v>1</v>
      </c>
      <c r="J1" s="77"/>
      <c r="K1" s="77" t="s">
        <v>5</v>
      </c>
      <c r="L1" s="77" t="s">
        <v>6</v>
      </c>
      <c r="M1" s="77" t="s">
        <v>7</v>
      </c>
      <c r="N1" s="77" t="s">
        <v>8</v>
      </c>
      <c r="O1" s="77" t="s">
        <v>9</v>
      </c>
      <c r="P1" s="77" t="s">
        <v>1</v>
      </c>
      <c r="R1" s="85"/>
      <c r="S1" s="85" t="s">
        <v>5</v>
      </c>
      <c r="T1" s="85" t="s">
        <v>6</v>
      </c>
      <c r="U1" s="85" t="s">
        <v>7</v>
      </c>
      <c r="V1" s="85" t="s">
        <v>8</v>
      </c>
      <c r="W1" s="85" t="s">
        <v>9</v>
      </c>
      <c r="X1" s="85" t="s">
        <v>1</v>
      </c>
      <c r="Z1" s="77" t="s">
        <v>18</v>
      </c>
      <c r="AA1" s="77" t="s">
        <v>5</v>
      </c>
      <c r="AB1" s="77" t="s">
        <v>6</v>
      </c>
      <c r="AC1" s="77" t="s">
        <v>7</v>
      </c>
      <c r="AD1" s="77" t="s">
        <v>8</v>
      </c>
      <c r="AE1" s="77" t="s">
        <v>9</v>
      </c>
      <c r="AF1" s="77" t="s">
        <v>1</v>
      </c>
      <c r="AH1" s="77" t="s">
        <v>18</v>
      </c>
      <c r="AI1" s="77" t="s">
        <v>5</v>
      </c>
      <c r="AJ1" s="77" t="s">
        <v>6</v>
      </c>
      <c r="AK1" s="77" t="s">
        <v>7</v>
      </c>
      <c r="AL1" s="77" t="s">
        <v>8</v>
      </c>
      <c r="AM1" s="77" t="s">
        <v>9</v>
      </c>
      <c r="AN1" s="77" t="s">
        <v>1</v>
      </c>
      <c r="AP1" s="77"/>
      <c r="AQ1" s="77" t="s">
        <v>5</v>
      </c>
      <c r="AR1" s="77" t="s">
        <v>6</v>
      </c>
      <c r="AS1" s="77" t="s">
        <v>7</v>
      </c>
      <c r="AT1" s="77" t="s">
        <v>8</v>
      </c>
      <c r="AU1" s="77" t="s">
        <v>9</v>
      </c>
      <c r="AV1" s="77" t="s">
        <v>1</v>
      </c>
      <c r="AX1" s="98" t="s">
        <v>19</v>
      </c>
      <c r="AY1" s="98"/>
      <c r="AZ1" s="98"/>
      <c r="BA1" s="98"/>
      <c r="BB1" s="98"/>
      <c r="BC1" s="98"/>
      <c r="BE1" s="98" t="s">
        <v>20</v>
      </c>
      <c r="BF1" s="98"/>
      <c r="BG1" s="98"/>
      <c r="BH1" s="98"/>
      <c r="BI1" s="98"/>
      <c r="BJ1" s="98"/>
      <c r="BL1" s="77"/>
      <c r="BM1" s="77" t="s">
        <v>21</v>
      </c>
      <c r="BN1" s="77"/>
      <c r="BO1" s="77"/>
      <c r="BP1" s="77"/>
      <c r="BQ1" s="77"/>
      <c r="BR1" s="77"/>
      <c r="BS1" s="77" t="s">
        <v>22</v>
      </c>
      <c r="BT1" s="77"/>
      <c r="BU1" s="77"/>
      <c r="BV1" s="77"/>
      <c r="BW1" s="77"/>
      <c r="BX1" s="77"/>
      <c r="BY1" s="140" t="s">
        <v>23</v>
      </c>
      <c r="CA1" s="77" t="s">
        <v>4</v>
      </c>
      <c r="CB1" s="77" t="s">
        <v>5</v>
      </c>
      <c r="CC1" s="77" t="s">
        <v>6</v>
      </c>
      <c r="CD1" s="77" t="s">
        <v>7</v>
      </c>
      <c r="CE1" s="77" t="s">
        <v>8</v>
      </c>
      <c r="CF1" s="77" t="s">
        <v>9</v>
      </c>
      <c r="CG1" s="77" t="s">
        <v>1</v>
      </c>
      <c r="CI1" s="145" t="s">
        <v>24</v>
      </c>
      <c r="CJ1" s="145" t="s">
        <v>5</v>
      </c>
      <c r="CK1" s="145" t="s">
        <v>6</v>
      </c>
      <c r="CL1" s="145" t="s">
        <v>7</v>
      </c>
      <c r="CM1" s="145" t="s">
        <v>8</v>
      </c>
      <c r="CN1" s="145" t="s">
        <v>9</v>
      </c>
      <c r="CO1" s="145" t="s">
        <v>1</v>
      </c>
      <c r="CQ1" s="151" t="s">
        <v>1</v>
      </c>
      <c r="CR1" s="152" t="s">
        <v>25</v>
      </c>
      <c r="CS1" s="152" t="s">
        <v>26</v>
      </c>
      <c r="CT1" s="152" t="s">
        <v>27</v>
      </c>
      <c r="CU1" s="152" t="s">
        <v>28</v>
      </c>
      <c r="CV1" s="152"/>
      <c r="CW1" s="152" t="s">
        <v>29</v>
      </c>
      <c r="CX1" s="152" t="s">
        <v>8</v>
      </c>
      <c r="CY1" s="152" t="s">
        <v>9</v>
      </c>
      <c r="CZ1" s="152" t="s">
        <v>1</v>
      </c>
    </row>
    <row r="2" ht="48" spans="1:104">
      <c r="A2" s="187" t="s">
        <v>30</v>
      </c>
      <c r="B2" s="187">
        <v>147</v>
      </c>
      <c r="C2" s="187">
        <v>143</v>
      </c>
      <c r="D2" s="187">
        <v>144</v>
      </c>
      <c r="E2" s="187">
        <v>136</v>
      </c>
      <c r="F2" s="187">
        <v>133</v>
      </c>
      <c r="G2" s="187">
        <v>132</v>
      </c>
      <c r="J2" s="79" t="s">
        <v>31</v>
      </c>
      <c r="K2" s="79">
        <v>147</v>
      </c>
      <c r="L2" s="79">
        <v>143</v>
      </c>
      <c r="M2" s="79">
        <v>144</v>
      </c>
      <c r="N2" s="79">
        <v>136</v>
      </c>
      <c r="O2" s="79">
        <v>133</v>
      </c>
      <c r="P2" s="79">
        <v>132</v>
      </c>
      <c r="R2" s="86" t="s">
        <v>30</v>
      </c>
      <c r="S2" s="86">
        <v>147</v>
      </c>
      <c r="T2" s="86">
        <v>143</v>
      </c>
      <c r="U2" s="86">
        <v>144</v>
      </c>
      <c r="V2" s="86">
        <v>136</v>
      </c>
      <c r="W2" s="86">
        <v>133</v>
      </c>
      <c r="X2" s="86">
        <v>132</v>
      </c>
      <c r="Z2" s="91" t="s">
        <v>32</v>
      </c>
      <c r="AA2" s="91">
        <v>55</v>
      </c>
      <c r="AB2" s="91">
        <v>60</v>
      </c>
      <c r="AC2" s="91">
        <v>60</v>
      </c>
      <c r="AD2" s="91">
        <v>60</v>
      </c>
      <c r="AE2" s="91">
        <v>59</v>
      </c>
      <c r="AF2" s="91">
        <v>60</v>
      </c>
      <c r="AH2" s="91" t="s">
        <v>33</v>
      </c>
      <c r="AI2" s="91">
        <v>92</v>
      </c>
      <c r="AJ2" s="91">
        <v>83</v>
      </c>
      <c r="AK2" s="91">
        <v>84</v>
      </c>
      <c r="AL2" s="91">
        <v>76</v>
      </c>
      <c r="AM2" s="91">
        <v>74</v>
      </c>
      <c r="AN2" s="91">
        <v>72</v>
      </c>
      <c r="AP2" s="91" t="s">
        <v>32</v>
      </c>
      <c r="AQ2" s="91">
        <v>55</v>
      </c>
      <c r="AR2" s="91">
        <v>60</v>
      </c>
      <c r="AS2" s="91">
        <v>60</v>
      </c>
      <c r="AT2" s="91">
        <v>60</v>
      </c>
      <c r="AU2" s="91">
        <v>59</v>
      </c>
      <c r="AV2" s="91">
        <v>60</v>
      </c>
      <c r="AX2" s="99" t="s">
        <v>34</v>
      </c>
      <c r="AY2" s="100" t="s">
        <v>35</v>
      </c>
      <c r="AZ2" s="100" t="s">
        <v>5</v>
      </c>
      <c r="BA2" s="100" t="s">
        <v>6</v>
      </c>
      <c r="BB2" s="100" t="s">
        <v>7</v>
      </c>
      <c r="BC2" s="100" t="s">
        <v>36</v>
      </c>
      <c r="BE2" s="115" t="s">
        <v>34</v>
      </c>
      <c r="BF2" s="116" t="s">
        <v>35</v>
      </c>
      <c r="BG2" s="116" t="s">
        <v>8</v>
      </c>
      <c r="BH2" s="116" t="s">
        <v>9</v>
      </c>
      <c r="BI2" s="116" t="s">
        <v>1</v>
      </c>
      <c r="BJ2" s="116" t="s">
        <v>36</v>
      </c>
      <c r="BL2" s="117"/>
      <c r="BM2" s="134" t="s">
        <v>5</v>
      </c>
      <c r="BN2" s="134" t="s">
        <v>6</v>
      </c>
      <c r="BO2" s="134" t="s">
        <v>7</v>
      </c>
      <c r="BP2" s="134" t="s">
        <v>8</v>
      </c>
      <c r="BQ2" s="134" t="s">
        <v>9</v>
      </c>
      <c r="BR2" s="134" t="s">
        <v>1</v>
      </c>
      <c r="BS2" s="134" t="s">
        <v>37</v>
      </c>
      <c r="BT2" s="134" t="s">
        <v>38</v>
      </c>
      <c r="BU2" s="134" t="s">
        <v>39</v>
      </c>
      <c r="BV2" s="134" t="s">
        <v>40</v>
      </c>
      <c r="BW2" s="134" t="s">
        <v>41</v>
      </c>
      <c r="BX2" s="134" t="s">
        <v>42</v>
      </c>
      <c r="BY2" s="117"/>
      <c r="CA2" s="143" t="s">
        <v>43</v>
      </c>
      <c r="CB2" s="143">
        <v>2</v>
      </c>
      <c r="CC2" s="143">
        <v>0</v>
      </c>
      <c r="CD2" s="143">
        <v>0</v>
      </c>
      <c r="CE2" s="143">
        <v>4</v>
      </c>
      <c r="CF2" s="143">
        <v>0</v>
      </c>
      <c r="CG2" s="143">
        <v>0</v>
      </c>
      <c r="CI2" s="146" t="s">
        <v>44</v>
      </c>
      <c r="CJ2" s="146">
        <v>71</v>
      </c>
      <c r="CK2" s="146">
        <v>142</v>
      </c>
      <c r="CL2" s="146">
        <v>11</v>
      </c>
      <c r="CM2" s="146">
        <v>0</v>
      </c>
      <c r="CN2" s="146">
        <v>1100</v>
      </c>
      <c r="CO2" s="146">
        <v>98</v>
      </c>
      <c r="CQ2" s="153" t="s">
        <v>43</v>
      </c>
      <c r="CR2" s="153">
        <v>8</v>
      </c>
      <c r="CS2" s="153" t="s">
        <v>45</v>
      </c>
      <c r="CT2" s="153" t="s">
        <v>46</v>
      </c>
      <c r="CU2" s="153" t="s">
        <v>47</v>
      </c>
      <c r="CV2" s="167"/>
      <c r="CW2" s="168" t="s">
        <v>43</v>
      </c>
      <c r="CX2" s="169">
        <v>4</v>
      </c>
      <c r="CY2" s="169">
        <v>0</v>
      </c>
      <c r="CZ2" s="169">
        <v>0</v>
      </c>
    </row>
    <row r="3" ht="32.25" spans="1:104">
      <c r="A3" s="188" t="s">
        <v>48</v>
      </c>
      <c r="B3" s="189">
        <v>92</v>
      </c>
      <c r="C3" s="189">
        <v>83</v>
      </c>
      <c r="D3" s="189">
        <v>84</v>
      </c>
      <c r="E3" s="189">
        <v>76</v>
      </c>
      <c r="F3" s="189">
        <v>74</v>
      </c>
      <c r="G3" s="189">
        <v>72</v>
      </c>
      <c r="J3" s="79" t="s">
        <v>49</v>
      </c>
      <c r="K3" s="79">
        <v>0</v>
      </c>
      <c r="L3" s="79">
        <v>0</v>
      </c>
      <c r="M3" s="79">
        <v>2</v>
      </c>
      <c r="N3" s="79">
        <v>0</v>
      </c>
      <c r="O3" s="79">
        <v>0</v>
      </c>
      <c r="P3" s="79">
        <v>0</v>
      </c>
      <c r="R3" s="80" t="s">
        <v>50</v>
      </c>
      <c r="S3" s="80">
        <v>92</v>
      </c>
      <c r="T3" s="80">
        <v>83</v>
      </c>
      <c r="U3" s="80">
        <v>84</v>
      </c>
      <c r="V3" s="80">
        <v>76</v>
      </c>
      <c r="W3" s="80">
        <v>74</v>
      </c>
      <c r="X3" s="80">
        <v>72</v>
      </c>
      <c r="Z3" s="80" t="s">
        <v>51</v>
      </c>
      <c r="AA3" s="80">
        <v>47</v>
      </c>
      <c r="AB3" s="80">
        <v>52</v>
      </c>
      <c r="AC3" s="80">
        <v>52</v>
      </c>
      <c r="AD3" s="80">
        <v>51</v>
      </c>
      <c r="AE3" s="80">
        <v>51</v>
      </c>
      <c r="AF3" s="80">
        <v>52</v>
      </c>
      <c r="AH3" s="80" t="s">
        <v>52</v>
      </c>
      <c r="AI3" s="80">
        <v>73</v>
      </c>
      <c r="AJ3" s="80">
        <v>66</v>
      </c>
      <c r="AK3" s="80">
        <v>66</v>
      </c>
      <c r="AL3" s="80">
        <v>59</v>
      </c>
      <c r="AM3" s="80">
        <v>56</v>
      </c>
      <c r="AN3" s="80">
        <v>52</v>
      </c>
      <c r="AP3" s="80" t="s">
        <v>53</v>
      </c>
      <c r="AQ3" s="80">
        <v>52</v>
      </c>
      <c r="AR3" s="80">
        <v>58</v>
      </c>
      <c r="AS3" s="80">
        <v>57</v>
      </c>
      <c r="AT3" s="80">
        <v>57</v>
      </c>
      <c r="AU3" s="80">
        <v>56</v>
      </c>
      <c r="AV3" s="80">
        <v>58</v>
      </c>
      <c r="AX3" s="101" t="s">
        <v>54</v>
      </c>
      <c r="AY3" s="102">
        <v>11</v>
      </c>
      <c r="AZ3" s="103">
        <v>11</v>
      </c>
      <c r="BA3" s="103">
        <v>11</v>
      </c>
      <c r="BB3" s="103">
        <v>11</v>
      </c>
      <c r="BC3" s="103" t="s">
        <v>55</v>
      </c>
      <c r="BE3" s="118" t="s">
        <v>54</v>
      </c>
      <c r="BF3" s="119">
        <v>11</v>
      </c>
      <c r="BG3" s="86">
        <v>11</v>
      </c>
      <c r="BH3" s="86">
        <v>12</v>
      </c>
      <c r="BI3" s="86">
        <v>13</v>
      </c>
      <c r="BJ3" s="86" t="s">
        <v>56</v>
      </c>
      <c r="BL3" s="120" t="s">
        <v>57</v>
      </c>
      <c r="BM3" s="80">
        <v>37</v>
      </c>
      <c r="BN3" s="80">
        <v>34</v>
      </c>
      <c r="BO3" s="80">
        <v>38</v>
      </c>
      <c r="BP3" s="80">
        <v>35</v>
      </c>
      <c r="BQ3" s="80">
        <v>35</v>
      </c>
      <c r="BR3" s="80">
        <v>30</v>
      </c>
      <c r="BS3" s="80" t="s">
        <v>58</v>
      </c>
      <c r="BT3" s="80" t="s">
        <v>59</v>
      </c>
      <c r="BU3" s="80" t="s">
        <v>60</v>
      </c>
      <c r="BV3" s="80" t="s">
        <v>61</v>
      </c>
      <c r="BW3" s="80" t="s">
        <v>58</v>
      </c>
      <c r="BX3" s="80" t="s">
        <v>62</v>
      </c>
      <c r="BY3" s="80" t="s">
        <v>63</v>
      </c>
      <c r="CA3" s="143" t="s">
        <v>64</v>
      </c>
      <c r="CB3" s="143">
        <v>0</v>
      </c>
      <c r="CC3" s="143">
        <v>3</v>
      </c>
      <c r="CD3" s="143">
        <v>18</v>
      </c>
      <c r="CE3" s="143">
        <v>0</v>
      </c>
      <c r="CF3" s="143">
        <v>14</v>
      </c>
      <c r="CG3" s="143">
        <v>0</v>
      </c>
      <c r="CI3" s="146" t="s">
        <v>65</v>
      </c>
      <c r="CJ3" s="146">
        <v>0</v>
      </c>
      <c r="CK3" s="146">
        <v>0</v>
      </c>
      <c r="CL3" s="146">
        <v>1</v>
      </c>
      <c r="CM3" s="146">
        <v>3</v>
      </c>
      <c r="CN3" s="146">
        <v>0</v>
      </c>
      <c r="CO3" s="146">
        <v>0</v>
      </c>
      <c r="CQ3" s="153"/>
      <c r="CR3" s="153"/>
      <c r="CS3" s="153"/>
      <c r="CT3" s="153"/>
      <c r="CU3" s="153"/>
      <c r="CV3" s="167"/>
      <c r="CW3" s="168" t="s">
        <v>64</v>
      </c>
      <c r="CX3" s="169">
        <v>0</v>
      </c>
      <c r="CY3" s="169">
        <v>14</v>
      </c>
      <c r="CZ3" s="169">
        <v>0</v>
      </c>
    </row>
    <row r="4" ht="32.25" spans="1:104">
      <c r="A4" s="188"/>
      <c r="B4" s="190"/>
      <c r="C4" s="190"/>
      <c r="D4" s="190"/>
      <c r="E4" s="190"/>
      <c r="F4" s="190"/>
      <c r="G4" s="190"/>
      <c r="J4" s="80" t="s">
        <v>66</v>
      </c>
      <c r="K4" s="80">
        <v>4</v>
      </c>
      <c r="L4" s="80">
        <v>1</v>
      </c>
      <c r="M4" s="80">
        <v>8</v>
      </c>
      <c r="N4" s="80">
        <v>3</v>
      </c>
      <c r="O4" s="80">
        <v>1</v>
      </c>
      <c r="P4" s="80">
        <v>6</v>
      </c>
      <c r="R4" s="80"/>
      <c r="S4" s="87" t="s">
        <v>67</v>
      </c>
      <c r="T4" s="87" t="s">
        <v>68</v>
      </c>
      <c r="U4" s="87" t="s">
        <v>68</v>
      </c>
      <c r="V4" s="87" t="s">
        <v>69</v>
      </c>
      <c r="W4" s="87" t="s">
        <v>69</v>
      </c>
      <c r="X4" s="87" t="s">
        <v>70</v>
      </c>
      <c r="Z4" s="79" t="s">
        <v>71</v>
      </c>
      <c r="AA4" s="79">
        <v>8</v>
      </c>
      <c r="AB4" s="79">
        <v>8</v>
      </c>
      <c r="AC4" s="79">
        <v>8</v>
      </c>
      <c r="AD4" s="79">
        <v>9</v>
      </c>
      <c r="AE4" s="79">
        <v>8</v>
      </c>
      <c r="AF4" s="79">
        <v>8</v>
      </c>
      <c r="AH4" s="79" t="s">
        <v>72</v>
      </c>
      <c r="AI4" s="79">
        <v>9</v>
      </c>
      <c r="AJ4" s="79">
        <v>7</v>
      </c>
      <c r="AK4" s="79">
        <v>8</v>
      </c>
      <c r="AL4" s="79">
        <v>6</v>
      </c>
      <c r="AM4" s="79">
        <v>7</v>
      </c>
      <c r="AN4" s="79">
        <v>9</v>
      </c>
      <c r="AP4" s="79" t="s">
        <v>73</v>
      </c>
      <c r="AQ4" s="79">
        <v>3</v>
      </c>
      <c r="AR4" s="79">
        <v>2</v>
      </c>
      <c r="AS4" s="79">
        <v>3</v>
      </c>
      <c r="AT4" s="79">
        <v>3</v>
      </c>
      <c r="AU4" s="79">
        <v>3</v>
      </c>
      <c r="AV4" s="79">
        <v>2</v>
      </c>
      <c r="AX4" s="104" t="s">
        <v>74</v>
      </c>
      <c r="AY4" s="105">
        <v>1</v>
      </c>
      <c r="AZ4" s="106">
        <v>1</v>
      </c>
      <c r="BA4" s="106">
        <v>1</v>
      </c>
      <c r="BB4" s="106">
        <v>1</v>
      </c>
      <c r="BC4" s="106" t="s">
        <v>55</v>
      </c>
      <c r="BE4" s="121" t="s">
        <v>74</v>
      </c>
      <c r="BF4" s="122">
        <v>1</v>
      </c>
      <c r="BG4" s="123">
        <v>2</v>
      </c>
      <c r="BH4" s="123">
        <v>1</v>
      </c>
      <c r="BI4" s="123">
        <v>1</v>
      </c>
      <c r="BJ4" s="123" t="s">
        <v>56</v>
      </c>
      <c r="BL4" s="124" t="s">
        <v>75</v>
      </c>
      <c r="BM4" s="79">
        <v>10</v>
      </c>
      <c r="BN4" s="79">
        <v>9</v>
      </c>
      <c r="BO4" s="79">
        <v>8</v>
      </c>
      <c r="BP4" s="79">
        <v>8</v>
      </c>
      <c r="BQ4" s="79">
        <v>6</v>
      </c>
      <c r="BR4" s="79">
        <v>8</v>
      </c>
      <c r="BS4" s="79" t="s">
        <v>76</v>
      </c>
      <c r="BT4" s="79" t="s">
        <v>77</v>
      </c>
      <c r="BU4" s="79" t="s">
        <v>78</v>
      </c>
      <c r="BV4" s="79" t="s">
        <v>79</v>
      </c>
      <c r="BW4" s="79" t="s">
        <v>80</v>
      </c>
      <c r="BX4" s="79" t="s">
        <v>81</v>
      </c>
      <c r="BY4" s="79" t="s">
        <v>82</v>
      </c>
      <c r="CA4" s="144" t="s">
        <v>83</v>
      </c>
      <c r="CB4" s="144">
        <v>35</v>
      </c>
      <c r="CC4" s="144">
        <v>7</v>
      </c>
      <c r="CD4" s="144">
        <v>16</v>
      </c>
      <c r="CE4" s="144">
        <v>8</v>
      </c>
      <c r="CF4" s="144">
        <v>44</v>
      </c>
      <c r="CG4" s="144">
        <v>12</v>
      </c>
      <c r="CI4" s="146" t="s">
        <v>84</v>
      </c>
      <c r="CJ4" s="146">
        <v>1</v>
      </c>
      <c r="CK4" s="146">
        <v>374</v>
      </c>
      <c r="CL4" s="146">
        <v>174</v>
      </c>
      <c r="CM4" s="146">
        <v>12</v>
      </c>
      <c r="CN4" s="146">
        <v>387</v>
      </c>
      <c r="CO4" s="146">
        <v>45</v>
      </c>
      <c r="CQ4" s="154" t="s">
        <v>83</v>
      </c>
      <c r="CR4" s="154">
        <v>30</v>
      </c>
      <c r="CS4" s="154" t="s">
        <v>85</v>
      </c>
      <c r="CT4" s="154" t="s">
        <v>46</v>
      </c>
      <c r="CU4" s="154" t="s">
        <v>86</v>
      </c>
      <c r="CV4" s="152"/>
      <c r="CW4" s="170" t="s">
        <v>83</v>
      </c>
      <c r="CX4" s="171">
        <v>8</v>
      </c>
      <c r="CY4" s="171">
        <v>44</v>
      </c>
      <c r="CZ4" s="171">
        <v>12</v>
      </c>
    </row>
    <row r="5" ht="48" spans="1:104">
      <c r="A5" s="188"/>
      <c r="B5" s="191" t="s">
        <v>67</v>
      </c>
      <c r="C5" s="191" t="s">
        <v>68</v>
      </c>
      <c r="D5" s="191" t="s">
        <v>68</v>
      </c>
      <c r="E5" s="191" t="s">
        <v>69</v>
      </c>
      <c r="F5" s="191" t="s">
        <v>69</v>
      </c>
      <c r="G5" s="191" t="s">
        <v>70</v>
      </c>
      <c r="R5" s="79" t="s">
        <v>87</v>
      </c>
      <c r="S5" s="79">
        <v>55</v>
      </c>
      <c r="T5" s="79">
        <v>60</v>
      </c>
      <c r="U5" s="79">
        <v>60</v>
      </c>
      <c r="V5" s="79">
        <v>60</v>
      </c>
      <c r="W5" s="79">
        <v>59</v>
      </c>
      <c r="X5" s="79">
        <v>60</v>
      </c>
      <c r="AH5" s="79" t="s">
        <v>88</v>
      </c>
      <c r="AI5" s="80">
        <v>5</v>
      </c>
      <c r="AJ5" s="80">
        <v>5</v>
      </c>
      <c r="AK5" s="80">
        <v>5</v>
      </c>
      <c r="AL5" s="80">
        <v>6</v>
      </c>
      <c r="AM5" s="80">
        <v>6</v>
      </c>
      <c r="AN5" s="80">
        <v>6</v>
      </c>
      <c r="AP5" s="80" t="s">
        <v>89</v>
      </c>
      <c r="AQ5" s="94" t="s">
        <v>90</v>
      </c>
      <c r="AR5" s="94"/>
      <c r="AS5" s="94"/>
      <c r="AT5" s="94"/>
      <c r="AU5" s="94"/>
      <c r="AV5" s="94" t="s">
        <v>91</v>
      </c>
      <c r="AX5" s="101" t="s">
        <v>92</v>
      </c>
      <c r="AY5" s="102">
        <v>2</v>
      </c>
      <c r="AZ5" s="103">
        <v>3</v>
      </c>
      <c r="BA5" s="103">
        <v>2</v>
      </c>
      <c r="BB5" s="103">
        <v>2</v>
      </c>
      <c r="BC5" s="103" t="s">
        <v>55</v>
      </c>
      <c r="BE5" s="118" t="s">
        <v>92</v>
      </c>
      <c r="BF5" s="119">
        <v>2</v>
      </c>
      <c r="BG5" s="86">
        <v>2</v>
      </c>
      <c r="BH5" s="86">
        <v>2</v>
      </c>
      <c r="BI5" s="86">
        <v>2</v>
      </c>
      <c r="BJ5" s="86" t="s">
        <v>55</v>
      </c>
      <c r="BL5" s="120" t="s">
        <v>93</v>
      </c>
      <c r="BM5" s="80">
        <v>13</v>
      </c>
      <c r="BN5" s="80">
        <v>12</v>
      </c>
      <c r="BO5" s="80">
        <v>11</v>
      </c>
      <c r="BP5" s="80">
        <v>11</v>
      </c>
      <c r="BQ5" s="80">
        <v>10</v>
      </c>
      <c r="BR5" s="80">
        <v>8</v>
      </c>
      <c r="BS5" s="80" t="s">
        <v>94</v>
      </c>
      <c r="BT5" s="80" t="s">
        <v>95</v>
      </c>
      <c r="BU5" s="80" t="s">
        <v>96</v>
      </c>
      <c r="BV5" s="80" t="s">
        <v>97</v>
      </c>
      <c r="BW5" s="80" t="s">
        <v>98</v>
      </c>
      <c r="BX5" s="80" t="s">
        <v>99</v>
      </c>
      <c r="BY5" s="80" t="s">
        <v>82</v>
      </c>
      <c r="CA5" s="144" t="s">
        <v>100</v>
      </c>
      <c r="CB5" s="144">
        <v>0</v>
      </c>
      <c r="CC5" s="144">
        <v>0</v>
      </c>
      <c r="CD5" s="144">
        <v>2</v>
      </c>
      <c r="CE5" s="144">
        <v>1</v>
      </c>
      <c r="CF5" s="144">
        <v>0</v>
      </c>
      <c r="CG5" s="144">
        <v>0</v>
      </c>
      <c r="CI5" s="146" t="s">
        <v>101</v>
      </c>
      <c r="CJ5" s="146">
        <v>0</v>
      </c>
      <c r="CK5" s="146">
        <v>0</v>
      </c>
      <c r="CL5" s="146">
        <v>0</v>
      </c>
      <c r="CM5" s="146">
        <v>0</v>
      </c>
      <c r="CN5" s="146">
        <v>0</v>
      </c>
      <c r="CO5" s="146">
        <v>0</v>
      </c>
      <c r="CQ5" s="154"/>
      <c r="CR5" s="154"/>
      <c r="CS5" s="154"/>
      <c r="CT5" s="154"/>
      <c r="CU5" s="154"/>
      <c r="CV5" s="167"/>
      <c r="CW5" s="172" t="s">
        <v>100</v>
      </c>
      <c r="CX5" s="171">
        <v>1</v>
      </c>
      <c r="CY5" s="171">
        <v>0</v>
      </c>
      <c r="CZ5" s="171">
        <v>0</v>
      </c>
    </row>
    <row r="6" ht="48" spans="1:104">
      <c r="A6" s="192" t="s">
        <v>102</v>
      </c>
      <c r="B6" s="193">
        <v>55</v>
      </c>
      <c r="C6" s="193">
        <v>60</v>
      </c>
      <c r="D6" s="193">
        <v>60</v>
      </c>
      <c r="E6" s="193">
        <v>60</v>
      </c>
      <c r="F6" s="193">
        <v>59</v>
      </c>
      <c r="G6" s="193">
        <v>60</v>
      </c>
      <c r="R6" s="79"/>
      <c r="S6" s="88" t="s">
        <v>103</v>
      </c>
      <c r="T6" s="88" t="s">
        <v>104</v>
      </c>
      <c r="U6" s="88" t="s">
        <v>104</v>
      </c>
      <c r="V6" s="88" t="s">
        <v>105</v>
      </c>
      <c r="W6" s="88" t="s">
        <v>105</v>
      </c>
      <c r="X6" s="88" t="s">
        <v>106</v>
      </c>
      <c r="AH6" s="79" t="s">
        <v>107</v>
      </c>
      <c r="AI6" s="79">
        <v>5</v>
      </c>
      <c r="AJ6" s="79">
        <v>5</v>
      </c>
      <c r="AK6" s="79">
        <v>5</v>
      </c>
      <c r="AL6" s="79">
        <v>5</v>
      </c>
      <c r="AM6" s="79">
        <v>5</v>
      </c>
      <c r="AN6" s="79">
        <v>5</v>
      </c>
      <c r="AX6" s="104" t="s">
        <v>108</v>
      </c>
      <c r="AY6" s="105">
        <v>4</v>
      </c>
      <c r="AZ6" s="106">
        <v>3</v>
      </c>
      <c r="BA6" s="106">
        <v>5</v>
      </c>
      <c r="BB6" s="106">
        <v>4</v>
      </c>
      <c r="BC6" s="106" t="s">
        <v>109</v>
      </c>
      <c r="BE6" s="121" t="s">
        <v>108</v>
      </c>
      <c r="BF6" s="122">
        <v>4</v>
      </c>
      <c r="BG6" s="123">
        <v>4</v>
      </c>
      <c r="BH6" s="123">
        <v>4</v>
      </c>
      <c r="BI6" s="123">
        <v>4</v>
      </c>
      <c r="BJ6" s="123" t="s">
        <v>55</v>
      </c>
      <c r="BL6" s="124" t="s">
        <v>110</v>
      </c>
      <c r="BM6" s="79">
        <v>3</v>
      </c>
      <c r="BN6" s="79">
        <v>3</v>
      </c>
      <c r="BO6" s="79">
        <v>3</v>
      </c>
      <c r="BP6" s="79">
        <v>3</v>
      </c>
      <c r="BQ6" s="79">
        <v>3</v>
      </c>
      <c r="BR6" s="79">
        <v>4</v>
      </c>
      <c r="BS6" s="79" t="s">
        <v>111</v>
      </c>
      <c r="BT6" s="79" t="s">
        <v>112</v>
      </c>
      <c r="BU6" s="79" t="s">
        <v>113</v>
      </c>
      <c r="BV6" s="79" t="s">
        <v>61</v>
      </c>
      <c r="BW6" s="79" t="s">
        <v>81</v>
      </c>
      <c r="BX6" s="79" t="s">
        <v>94</v>
      </c>
      <c r="BY6" s="79" t="s">
        <v>63</v>
      </c>
      <c r="CA6" s="144" t="s">
        <v>114</v>
      </c>
      <c r="CB6" s="144">
        <v>3</v>
      </c>
      <c r="CC6" s="144">
        <v>24</v>
      </c>
      <c r="CD6" s="144">
        <v>1</v>
      </c>
      <c r="CE6" s="144">
        <v>7</v>
      </c>
      <c r="CF6" s="144">
        <v>3</v>
      </c>
      <c r="CG6" s="144">
        <v>0</v>
      </c>
      <c r="CI6" s="146" t="s">
        <v>115</v>
      </c>
      <c r="CJ6" s="146">
        <v>0</v>
      </c>
      <c r="CK6" s="146">
        <v>6</v>
      </c>
      <c r="CL6" s="146">
        <v>1</v>
      </c>
      <c r="CM6" s="146">
        <v>0</v>
      </c>
      <c r="CN6" s="146">
        <v>0</v>
      </c>
      <c r="CO6" s="146">
        <v>0</v>
      </c>
      <c r="CQ6" s="154"/>
      <c r="CR6" s="154"/>
      <c r="CS6" s="154"/>
      <c r="CT6" s="154"/>
      <c r="CU6" s="154"/>
      <c r="CV6" s="167"/>
      <c r="CW6" s="172" t="s">
        <v>114</v>
      </c>
      <c r="CX6" s="171">
        <v>7</v>
      </c>
      <c r="CY6" s="171">
        <v>3</v>
      </c>
      <c r="CZ6" s="173">
        <v>0</v>
      </c>
    </row>
    <row r="7" ht="32.25" spans="1:104">
      <c r="A7" s="192"/>
      <c r="B7" s="194"/>
      <c r="C7" s="194"/>
      <c r="D7" s="194"/>
      <c r="E7" s="194"/>
      <c r="F7" s="194"/>
      <c r="G7" s="194"/>
      <c r="AX7" s="101" t="s">
        <v>116</v>
      </c>
      <c r="AY7" s="102">
        <v>1</v>
      </c>
      <c r="AZ7" s="103">
        <v>0</v>
      </c>
      <c r="BA7" s="103">
        <v>1</v>
      </c>
      <c r="BB7" s="103">
        <v>2</v>
      </c>
      <c r="BC7" s="103" t="s">
        <v>117</v>
      </c>
      <c r="BE7" s="118" t="s">
        <v>116</v>
      </c>
      <c r="BF7" s="119">
        <v>1</v>
      </c>
      <c r="BG7" s="86">
        <v>2</v>
      </c>
      <c r="BH7" s="86">
        <v>1</v>
      </c>
      <c r="BI7" s="86">
        <v>1</v>
      </c>
      <c r="BJ7" s="86" t="s">
        <v>56</v>
      </c>
      <c r="BL7" s="120" t="s">
        <v>101</v>
      </c>
      <c r="BM7" s="80">
        <v>3</v>
      </c>
      <c r="BN7" s="80">
        <v>3</v>
      </c>
      <c r="BO7" s="80">
        <v>2</v>
      </c>
      <c r="BP7" s="80">
        <v>1</v>
      </c>
      <c r="BQ7" s="80">
        <v>1</v>
      </c>
      <c r="BR7" s="80">
        <v>1</v>
      </c>
      <c r="BS7" s="80" t="s">
        <v>118</v>
      </c>
      <c r="BT7" s="80" t="s">
        <v>119</v>
      </c>
      <c r="BU7" s="80" t="s">
        <v>120</v>
      </c>
      <c r="BV7" s="80" t="s">
        <v>121</v>
      </c>
      <c r="BW7" s="80" t="s">
        <v>122</v>
      </c>
      <c r="BX7" s="80" t="s">
        <v>123</v>
      </c>
      <c r="BY7" s="80" t="s">
        <v>124</v>
      </c>
      <c r="CA7" s="143" t="s">
        <v>110</v>
      </c>
      <c r="CB7" s="143">
        <v>0</v>
      </c>
      <c r="CC7" s="143">
        <v>0</v>
      </c>
      <c r="CD7" s="143">
        <v>0</v>
      </c>
      <c r="CE7" s="143">
        <v>1</v>
      </c>
      <c r="CF7" s="143">
        <v>0</v>
      </c>
      <c r="CG7" s="143">
        <v>0</v>
      </c>
      <c r="CI7" s="147" t="s">
        <v>125</v>
      </c>
      <c r="CJ7" s="221">
        <v>3</v>
      </c>
      <c r="CK7" s="221">
        <v>3</v>
      </c>
      <c r="CL7" s="221">
        <v>3</v>
      </c>
      <c r="CM7" s="221">
        <v>4</v>
      </c>
      <c r="CN7" s="221"/>
      <c r="CO7" s="221"/>
      <c r="CQ7" s="153" t="s">
        <v>93</v>
      </c>
      <c r="CR7" s="153">
        <v>8</v>
      </c>
      <c r="CS7" s="153" t="s">
        <v>45</v>
      </c>
      <c r="CT7" s="153" t="s">
        <v>126</v>
      </c>
      <c r="CU7" s="153" t="s">
        <v>127</v>
      </c>
      <c r="CV7" s="152"/>
      <c r="CW7" s="174" t="s">
        <v>44</v>
      </c>
      <c r="CX7" s="169">
        <v>0</v>
      </c>
      <c r="CY7" s="169">
        <v>1100</v>
      </c>
      <c r="CZ7" s="169">
        <v>98</v>
      </c>
    </row>
    <row r="8" ht="35.25" spans="1:104">
      <c r="A8" s="192"/>
      <c r="B8" s="195" t="s">
        <v>103</v>
      </c>
      <c r="C8" s="195" t="s">
        <v>104</v>
      </c>
      <c r="D8" s="195" t="s">
        <v>104</v>
      </c>
      <c r="E8" s="195" t="s">
        <v>105</v>
      </c>
      <c r="F8" s="195" t="s">
        <v>105</v>
      </c>
      <c r="G8" s="195" t="s">
        <v>106</v>
      </c>
      <c r="R8" s="85"/>
      <c r="S8" s="85" t="s">
        <v>5</v>
      </c>
      <c r="T8" s="85" t="s">
        <v>6</v>
      </c>
      <c r="U8" s="85" t="s">
        <v>7</v>
      </c>
      <c r="V8" s="85" t="s">
        <v>8</v>
      </c>
      <c r="W8" s="85" t="s">
        <v>9</v>
      </c>
      <c r="X8" s="85" t="s">
        <v>1</v>
      </c>
      <c r="AX8" s="104" t="s">
        <v>128</v>
      </c>
      <c r="AY8" s="105">
        <v>1</v>
      </c>
      <c r="AZ8" s="106">
        <v>1</v>
      </c>
      <c r="BA8" s="106">
        <v>0</v>
      </c>
      <c r="BB8" s="106">
        <v>1</v>
      </c>
      <c r="BC8" s="107" t="s">
        <v>129</v>
      </c>
      <c r="BE8" s="121" t="s">
        <v>128</v>
      </c>
      <c r="BF8" s="122">
        <v>1</v>
      </c>
      <c r="BG8" s="123">
        <v>1</v>
      </c>
      <c r="BH8" s="123">
        <v>1</v>
      </c>
      <c r="BI8" s="123">
        <v>1</v>
      </c>
      <c r="BJ8" s="133" t="s">
        <v>130</v>
      </c>
      <c r="BL8" s="124" t="s">
        <v>131</v>
      </c>
      <c r="BM8" s="79">
        <v>5</v>
      </c>
      <c r="BN8" s="79">
        <v>2</v>
      </c>
      <c r="BO8" s="79">
        <v>1</v>
      </c>
      <c r="BP8" s="79">
        <v>1</v>
      </c>
      <c r="BQ8" s="79">
        <v>1</v>
      </c>
      <c r="BR8" s="79">
        <v>1</v>
      </c>
      <c r="BS8" s="79" t="s">
        <v>132</v>
      </c>
      <c r="BT8" s="79"/>
      <c r="BU8" s="79"/>
      <c r="BV8" s="79" t="s">
        <v>133</v>
      </c>
      <c r="BW8" s="79" t="s">
        <v>134</v>
      </c>
      <c r="BX8" s="79" t="s">
        <v>123</v>
      </c>
      <c r="BY8" s="142">
        <v>0.01</v>
      </c>
      <c r="CI8" s="222"/>
      <c r="CJ8" s="221"/>
      <c r="CK8" s="221"/>
      <c r="CL8" s="221"/>
      <c r="CM8" s="221"/>
      <c r="CN8" s="221"/>
      <c r="CO8" s="221"/>
      <c r="CQ8" s="153"/>
      <c r="CR8" s="153"/>
      <c r="CS8" s="153"/>
      <c r="CT8" s="153"/>
      <c r="CU8" s="153"/>
      <c r="CV8" s="167"/>
      <c r="CW8" s="174" t="s">
        <v>65</v>
      </c>
      <c r="CX8" s="169">
        <v>3</v>
      </c>
      <c r="CY8" s="169">
        <v>0</v>
      </c>
      <c r="CZ8" s="169">
        <v>0</v>
      </c>
    </row>
    <row r="9" ht="35.25" spans="18:104">
      <c r="R9" s="89" t="s">
        <v>87</v>
      </c>
      <c r="S9" s="79">
        <v>55</v>
      </c>
      <c r="T9" s="79">
        <v>60</v>
      </c>
      <c r="U9" s="79">
        <v>60</v>
      </c>
      <c r="V9" s="79">
        <v>60</v>
      </c>
      <c r="W9" s="79">
        <v>59</v>
      </c>
      <c r="X9" s="79">
        <v>60</v>
      </c>
      <c r="AX9" s="101" t="s">
        <v>135</v>
      </c>
      <c r="AY9" s="102">
        <v>1</v>
      </c>
      <c r="AZ9" s="103">
        <v>2</v>
      </c>
      <c r="BA9" s="103">
        <v>2</v>
      </c>
      <c r="BB9" s="103">
        <v>2</v>
      </c>
      <c r="BC9" s="108" t="s">
        <v>129</v>
      </c>
      <c r="BE9" s="118" t="s">
        <v>135</v>
      </c>
      <c r="BF9" s="119">
        <v>1</v>
      </c>
      <c r="BG9" s="86">
        <v>2</v>
      </c>
      <c r="BH9" s="86">
        <v>2</v>
      </c>
      <c r="BI9" s="86">
        <v>2</v>
      </c>
      <c r="BJ9" s="225" t="s">
        <v>129</v>
      </c>
      <c r="CI9" s="222"/>
      <c r="CJ9" s="221"/>
      <c r="CK9" s="221"/>
      <c r="CL9" s="221"/>
      <c r="CM9" s="221"/>
      <c r="CN9" s="221"/>
      <c r="CO9" s="221"/>
      <c r="CQ9" s="153"/>
      <c r="CR9" s="153"/>
      <c r="CS9" s="153"/>
      <c r="CT9" s="153"/>
      <c r="CU9" s="153"/>
      <c r="CV9" s="152"/>
      <c r="CW9" s="174" t="s">
        <v>84</v>
      </c>
      <c r="CX9" s="169">
        <v>12</v>
      </c>
      <c r="CY9" s="169">
        <v>387</v>
      </c>
      <c r="CZ9" s="169">
        <v>45</v>
      </c>
    </row>
    <row r="10" ht="48" spans="1:104">
      <c r="A10" s="196" t="s">
        <v>136</v>
      </c>
      <c r="B10" s="145" t="s">
        <v>5</v>
      </c>
      <c r="C10" s="145" t="s">
        <v>6</v>
      </c>
      <c r="D10" s="145" t="s">
        <v>7</v>
      </c>
      <c r="E10" s="145" t="s">
        <v>8</v>
      </c>
      <c r="F10" s="145" t="s">
        <v>9</v>
      </c>
      <c r="G10" s="145" t="s">
        <v>1</v>
      </c>
      <c r="R10" s="90" t="s">
        <v>50</v>
      </c>
      <c r="S10" s="80">
        <v>92</v>
      </c>
      <c r="T10" s="80">
        <v>83</v>
      </c>
      <c r="U10" s="80">
        <v>84</v>
      </c>
      <c r="V10" s="80">
        <v>76</v>
      </c>
      <c r="W10" s="80">
        <v>74</v>
      </c>
      <c r="X10" s="80">
        <v>72</v>
      </c>
      <c r="AX10" s="104" t="s">
        <v>137</v>
      </c>
      <c r="AY10" s="105">
        <v>1</v>
      </c>
      <c r="AZ10" s="106">
        <v>2</v>
      </c>
      <c r="BA10" s="106">
        <v>2</v>
      </c>
      <c r="BB10" s="106">
        <v>2</v>
      </c>
      <c r="BC10" s="107" t="s">
        <v>129</v>
      </c>
      <c r="BE10" s="121" t="s">
        <v>137</v>
      </c>
      <c r="BF10" s="122">
        <v>1</v>
      </c>
      <c r="BG10" s="123">
        <v>2</v>
      </c>
      <c r="BH10" s="123">
        <v>2</v>
      </c>
      <c r="BI10" s="123">
        <v>2</v>
      </c>
      <c r="BJ10" s="133" t="s">
        <v>129</v>
      </c>
      <c r="BL10" s="126"/>
      <c r="BM10" s="134" t="s">
        <v>5</v>
      </c>
      <c r="BN10" s="134" t="s">
        <v>6</v>
      </c>
      <c r="BO10" s="134" t="s">
        <v>7</v>
      </c>
      <c r="BP10" s="134" t="s">
        <v>8</v>
      </c>
      <c r="BQ10" s="134" t="s">
        <v>9</v>
      </c>
      <c r="BR10" s="134" t="s">
        <v>1</v>
      </c>
      <c r="CI10" s="148" t="s">
        <v>138</v>
      </c>
      <c r="CJ10" s="221"/>
      <c r="CK10" s="221"/>
      <c r="CL10" s="221"/>
      <c r="CM10" s="221"/>
      <c r="CN10" s="221"/>
      <c r="CO10" s="221"/>
      <c r="CQ10" s="153"/>
      <c r="CR10" s="153"/>
      <c r="CS10" s="153"/>
      <c r="CT10" s="153"/>
      <c r="CU10" s="153"/>
      <c r="CV10" s="167"/>
      <c r="CW10" s="174" t="s">
        <v>101</v>
      </c>
      <c r="CX10" s="169">
        <v>0</v>
      </c>
      <c r="CY10" s="169">
        <v>0</v>
      </c>
      <c r="CZ10" s="169">
        <v>0</v>
      </c>
    </row>
    <row r="11" ht="32.25" spans="1:104">
      <c r="A11" s="192" t="s">
        <v>139</v>
      </c>
      <c r="B11" s="192">
        <v>0</v>
      </c>
      <c r="C11" s="192">
        <v>0</v>
      </c>
      <c r="D11" s="192">
        <v>2</v>
      </c>
      <c r="E11" s="192">
        <v>0</v>
      </c>
      <c r="F11" s="192">
        <v>0</v>
      </c>
      <c r="G11" s="192">
        <v>0</v>
      </c>
      <c r="R11" s="86" t="s">
        <v>30</v>
      </c>
      <c r="S11" s="86">
        <v>147</v>
      </c>
      <c r="T11" s="86">
        <v>143</v>
      </c>
      <c r="U11" s="86">
        <v>144</v>
      </c>
      <c r="V11" s="86">
        <v>136</v>
      </c>
      <c r="W11" s="86">
        <v>133</v>
      </c>
      <c r="X11" s="86">
        <v>132</v>
      </c>
      <c r="AX11" s="101" t="s">
        <v>140</v>
      </c>
      <c r="AY11" s="102">
        <v>2</v>
      </c>
      <c r="AZ11" s="103">
        <v>0</v>
      </c>
      <c r="BA11" s="103">
        <v>0</v>
      </c>
      <c r="BB11" s="103">
        <v>2</v>
      </c>
      <c r="BC11" s="109" t="s">
        <v>141</v>
      </c>
      <c r="BE11" s="118" t="s">
        <v>140</v>
      </c>
      <c r="BF11" s="119">
        <v>2</v>
      </c>
      <c r="BG11" s="86">
        <v>2</v>
      </c>
      <c r="BH11" s="86">
        <v>2</v>
      </c>
      <c r="BI11" s="86">
        <v>2</v>
      </c>
      <c r="BJ11" s="127" t="s">
        <v>141</v>
      </c>
      <c r="BL11" s="120" t="s">
        <v>142</v>
      </c>
      <c r="BM11" s="80">
        <v>37</v>
      </c>
      <c r="BN11" s="80">
        <v>34</v>
      </c>
      <c r="BO11" s="80">
        <v>38</v>
      </c>
      <c r="BP11" s="80">
        <v>35</v>
      </c>
      <c r="BQ11" s="80">
        <v>35</v>
      </c>
      <c r="BR11" s="80">
        <v>30</v>
      </c>
      <c r="CI11" s="222"/>
      <c r="CJ11" s="221"/>
      <c r="CK11" s="221"/>
      <c r="CL11" s="221"/>
      <c r="CM11" s="221"/>
      <c r="CN11" s="221"/>
      <c r="CO11" s="221"/>
      <c r="CQ11" s="153"/>
      <c r="CR11" s="153"/>
      <c r="CS11" s="153"/>
      <c r="CT11" s="153"/>
      <c r="CU11" s="153"/>
      <c r="CV11" s="152"/>
      <c r="CW11" s="175" t="s">
        <v>115</v>
      </c>
      <c r="CX11" s="169">
        <v>0</v>
      </c>
      <c r="CY11" s="169">
        <v>0</v>
      </c>
      <c r="CZ11" s="169">
        <v>0</v>
      </c>
    </row>
    <row r="12" ht="79.5" spans="1:93">
      <c r="A12" s="188" t="s">
        <v>143</v>
      </c>
      <c r="B12" s="188">
        <v>4</v>
      </c>
      <c r="C12" s="188">
        <v>1</v>
      </c>
      <c r="D12" s="188" t="s">
        <v>144</v>
      </c>
      <c r="E12" s="188">
        <v>3</v>
      </c>
      <c r="F12" s="188">
        <v>1</v>
      </c>
      <c r="G12" s="188">
        <v>6</v>
      </c>
      <c r="AX12" s="104" t="s">
        <v>145</v>
      </c>
      <c r="AY12" s="105">
        <v>1</v>
      </c>
      <c r="AZ12" s="106">
        <v>0</v>
      </c>
      <c r="BA12" s="106">
        <v>0</v>
      </c>
      <c r="BB12" s="106">
        <v>1</v>
      </c>
      <c r="BC12" s="110" t="s">
        <v>141</v>
      </c>
      <c r="BE12" s="121" t="s">
        <v>145</v>
      </c>
      <c r="BF12" s="122">
        <v>1</v>
      </c>
      <c r="BG12" s="123">
        <v>1</v>
      </c>
      <c r="BH12" s="123">
        <v>1</v>
      </c>
      <c r="BI12" s="123">
        <v>1</v>
      </c>
      <c r="BJ12" s="128" t="s">
        <v>141</v>
      </c>
      <c r="BL12" s="120" t="s">
        <v>146</v>
      </c>
      <c r="BM12" s="80">
        <v>52</v>
      </c>
      <c r="BN12" s="80">
        <v>57</v>
      </c>
      <c r="BO12" s="80">
        <v>65</v>
      </c>
      <c r="BP12" s="80">
        <v>45</v>
      </c>
      <c r="BQ12" s="80">
        <v>52</v>
      </c>
      <c r="BR12" s="80">
        <v>71</v>
      </c>
      <c r="CI12" s="149" t="s">
        <v>147</v>
      </c>
      <c r="CJ12" s="221"/>
      <c r="CK12" s="221"/>
      <c r="CL12" s="221"/>
      <c r="CM12" s="221"/>
      <c r="CN12" s="221"/>
      <c r="CO12" s="221"/>
    </row>
    <row r="13" ht="17.25" spans="1:70">
      <c r="A13" s="197"/>
      <c r="B13" s="197"/>
      <c r="C13" s="197"/>
      <c r="D13" s="197"/>
      <c r="E13" s="197"/>
      <c r="F13" s="197"/>
      <c r="G13" s="197"/>
      <c r="AX13" s="101" t="s">
        <v>148</v>
      </c>
      <c r="AY13" s="102">
        <v>8</v>
      </c>
      <c r="AZ13" s="103">
        <v>8</v>
      </c>
      <c r="BA13" s="103">
        <v>8</v>
      </c>
      <c r="BB13" s="103">
        <v>8</v>
      </c>
      <c r="BC13" s="103" t="s">
        <v>55</v>
      </c>
      <c r="BE13" s="118" t="s">
        <v>148</v>
      </c>
      <c r="BF13" s="119">
        <v>8</v>
      </c>
      <c r="BG13" s="86">
        <v>8</v>
      </c>
      <c r="BH13" s="86">
        <v>8</v>
      </c>
      <c r="BI13" s="86">
        <v>9</v>
      </c>
      <c r="BJ13" s="86" t="s">
        <v>56</v>
      </c>
      <c r="BL13" s="124" t="s">
        <v>149</v>
      </c>
      <c r="BM13" s="79">
        <v>10</v>
      </c>
      <c r="BN13" s="79">
        <v>9</v>
      </c>
      <c r="BO13" s="79">
        <v>8</v>
      </c>
      <c r="BP13" s="79">
        <v>8</v>
      </c>
      <c r="BQ13" s="79">
        <v>6</v>
      </c>
      <c r="BR13" s="79">
        <v>8</v>
      </c>
    </row>
    <row r="14" ht="18" spans="50:70">
      <c r="AX14" s="104" t="s">
        <v>150</v>
      </c>
      <c r="AY14" s="105">
        <v>8</v>
      </c>
      <c r="AZ14" s="106">
        <v>5</v>
      </c>
      <c r="BA14" s="106">
        <v>8</v>
      </c>
      <c r="BB14" s="106">
        <v>8</v>
      </c>
      <c r="BC14" s="106" t="s">
        <v>151</v>
      </c>
      <c r="BE14" s="121" t="s">
        <v>150</v>
      </c>
      <c r="BF14" s="122">
        <v>8</v>
      </c>
      <c r="BG14" s="123">
        <v>8</v>
      </c>
      <c r="BH14" s="123">
        <v>8</v>
      </c>
      <c r="BI14" s="123">
        <v>8</v>
      </c>
      <c r="BJ14" s="123" t="s">
        <v>152</v>
      </c>
      <c r="BL14" s="124" t="s">
        <v>153</v>
      </c>
      <c r="BM14" s="79">
        <v>48</v>
      </c>
      <c r="BN14" s="79">
        <v>49</v>
      </c>
      <c r="BO14" s="79">
        <v>26</v>
      </c>
      <c r="BP14" s="79">
        <v>17</v>
      </c>
      <c r="BQ14" s="79">
        <v>47</v>
      </c>
      <c r="BR14" s="79">
        <v>73</v>
      </c>
    </row>
    <row r="15" ht="35.25" spans="1:70">
      <c r="A15" s="145" t="s">
        <v>154</v>
      </c>
      <c r="B15" s="145" t="s">
        <v>5</v>
      </c>
      <c r="C15" s="145" t="s">
        <v>6</v>
      </c>
      <c r="D15" s="145" t="s">
        <v>7</v>
      </c>
      <c r="E15" s="145" t="s">
        <v>8</v>
      </c>
      <c r="F15" s="145" t="s">
        <v>9</v>
      </c>
      <c r="G15" s="145" t="s">
        <v>1</v>
      </c>
      <c r="AX15" s="101" t="s">
        <v>155</v>
      </c>
      <c r="AY15" s="102">
        <v>3</v>
      </c>
      <c r="AZ15" s="103">
        <v>3</v>
      </c>
      <c r="BA15" s="103">
        <v>4</v>
      </c>
      <c r="BB15" s="103">
        <v>4</v>
      </c>
      <c r="BC15" s="103" t="s">
        <v>156</v>
      </c>
      <c r="BE15" s="118" t="s">
        <v>155</v>
      </c>
      <c r="BF15" s="119">
        <v>3</v>
      </c>
      <c r="BG15" s="86">
        <v>3</v>
      </c>
      <c r="BH15" s="86">
        <v>3</v>
      </c>
      <c r="BI15" s="86">
        <v>3</v>
      </c>
      <c r="BJ15" s="86" t="s">
        <v>55</v>
      </c>
      <c r="BL15" s="120" t="s">
        <v>157</v>
      </c>
      <c r="BM15" s="80">
        <v>13</v>
      </c>
      <c r="BN15" s="80">
        <v>12</v>
      </c>
      <c r="BO15" s="80">
        <v>11</v>
      </c>
      <c r="BP15" s="80">
        <v>11</v>
      </c>
      <c r="BQ15" s="80">
        <v>10</v>
      </c>
      <c r="BR15" s="80">
        <v>8</v>
      </c>
    </row>
    <row r="16" ht="35.25" spans="1:70">
      <c r="A16" s="198" t="s">
        <v>32</v>
      </c>
      <c r="B16" s="198">
        <v>55</v>
      </c>
      <c r="C16" s="198">
        <v>60</v>
      </c>
      <c r="D16" s="198">
        <v>60</v>
      </c>
      <c r="E16" s="198">
        <v>60</v>
      </c>
      <c r="F16" s="198">
        <v>59</v>
      </c>
      <c r="G16" s="198">
        <v>60</v>
      </c>
      <c r="AX16" s="104" t="s">
        <v>158</v>
      </c>
      <c r="AY16" s="105">
        <v>1</v>
      </c>
      <c r="AZ16" s="106">
        <v>1</v>
      </c>
      <c r="BA16" s="106">
        <v>1</v>
      </c>
      <c r="BB16" s="106">
        <v>1</v>
      </c>
      <c r="BC16" s="106" t="s">
        <v>55</v>
      </c>
      <c r="BE16" s="121" t="s">
        <v>158</v>
      </c>
      <c r="BF16" s="122">
        <v>1</v>
      </c>
      <c r="BG16" s="123">
        <v>1</v>
      </c>
      <c r="BH16" s="123">
        <v>1</v>
      </c>
      <c r="BI16" s="123">
        <v>0</v>
      </c>
      <c r="BJ16" s="123" t="s">
        <v>159</v>
      </c>
      <c r="BL16" s="129" t="s">
        <v>160</v>
      </c>
      <c r="BM16" s="135">
        <v>50</v>
      </c>
      <c r="BN16" s="135">
        <v>67</v>
      </c>
      <c r="BO16" s="135">
        <v>61</v>
      </c>
      <c r="BP16" s="135">
        <v>37</v>
      </c>
      <c r="BQ16" s="135">
        <v>40</v>
      </c>
      <c r="BR16" s="135">
        <v>66</v>
      </c>
    </row>
    <row r="17" ht="18" spans="1:62">
      <c r="A17" s="188" t="s">
        <v>51</v>
      </c>
      <c r="B17" s="188">
        <v>47</v>
      </c>
      <c r="C17" s="188">
        <v>52</v>
      </c>
      <c r="D17" s="188">
        <v>52</v>
      </c>
      <c r="E17" s="188">
        <v>51</v>
      </c>
      <c r="F17" s="188">
        <v>51</v>
      </c>
      <c r="G17" s="188">
        <v>52</v>
      </c>
      <c r="AX17" s="101" t="s">
        <v>161</v>
      </c>
      <c r="AY17" s="102">
        <v>7</v>
      </c>
      <c r="AZ17" s="103">
        <v>10</v>
      </c>
      <c r="BA17" s="103">
        <v>10</v>
      </c>
      <c r="BB17" s="103">
        <v>11</v>
      </c>
      <c r="BC17" s="103" t="s">
        <v>162</v>
      </c>
      <c r="BE17" s="118" t="s">
        <v>161</v>
      </c>
      <c r="BF17" s="119">
        <v>7</v>
      </c>
      <c r="BG17" s="86">
        <v>11</v>
      </c>
      <c r="BH17" s="86">
        <v>11</v>
      </c>
      <c r="BI17" s="86">
        <v>11</v>
      </c>
      <c r="BJ17" s="86" t="s">
        <v>163</v>
      </c>
    </row>
    <row r="18" ht="18" spans="1:62">
      <c r="A18" s="192" t="s">
        <v>71</v>
      </c>
      <c r="B18" s="192">
        <v>8</v>
      </c>
      <c r="C18" s="192">
        <v>8</v>
      </c>
      <c r="D18" s="192">
        <v>8</v>
      </c>
      <c r="E18" s="192">
        <v>9</v>
      </c>
      <c r="F18" s="192">
        <v>8</v>
      </c>
      <c r="G18" s="192">
        <v>8</v>
      </c>
      <c r="AX18" s="104" t="s">
        <v>164</v>
      </c>
      <c r="AY18" s="105">
        <v>5</v>
      </c>
      <c r="AZ18" s="106">
        <v>5</v>
      </c>
      <c r="BA18" s="106">
        <v>5</v>
      </c>
      <c r="BB18" s="106">
        <v>0</v>
      </c>
      <c r="BC18" s="111" t="s">
        <v>165</v>
      </c>
      <c r="BE18" s="130" t="s">
        <v>166</v>
      </c>
      <c r="BF18" s="122">
        <v>53</v>
      </c>
      <c r="BG18" s="122">
        <v>60</v>
      </c>
      <c r="BH18" s="122">
        <v>59</v>
      </c>
      <c r="BI18" s="122">
        <v>60</v>
      </c>
      <c r="BJ18" s="131"/>
    </row>
    <row r="19" ht="32.25" spans="50:104">
      <c r="AX19" s="112" t="s">
        <v>166</v>
      </c>
      <c r="AY19" s="102">
        <v>57</v>
      </c>
      <c r="AZ19" s="102">
        <v>55</v>
      </c>
      <c r="BA19" s="102">
        <v>60</v>
      </c>
      <c r="BB19" s="102">
        <v>60</v>
      </c>
      <c r="BC19" s="113"/>
      <c r="BL19" s="132"/>
      <c r="BM19" s="136"/>
      <c r="BN19" s="136"/>
      <c r="BO19" s="136"/>
      <c r="BP19" s="136"/>
      <c r="BQ19" s="136"/>
      <c r="BR19" s="136"/>
      <c r="CQ19" s="228" t="s">
        <v>167</v>
      </c>
      <c r="CR19" s="152" t="s">
        <v>25</v>
      </c>
      <c r="CS19" s="152" t="s">
        <v>26</v>
      </c>
      <c r="CT19" s="152" t="s">
        <v>168</v>
      </c>
      <c r="CU19" s="152" t="s">
        <v>169</v>
      </c>
      <c r="CV19" s="152"/>
      <c r="CW19" s="152" t="s">
        <v>29</v>
      </c>
      <c r="CX19" s="152" t="s">
        <v>8</v>
      </c>
      <c r="CY19" s="152" t="s">
        <v>9</v>
      </c>
      <c r="CZ19" s="152" t="s">
        <v>1</v>
      </c>
    </row>
    <row r="20" ht="16.5" spans="1:104">
      <c r="A20" s="145" t="s">
        <v>154</v>
      </c>
      <c r="B20" s="145" t="s">
        <v>5</v>
      </c>
      <c r="C20" s="145" t="s">
        <v>6</v>
      </c>
      <c r="D20" s="145" t="s">
        <v>7</v>
      </c>
      <c r="E20" s="145" t="s">
        <v>8</v>
      </c>
      <c r="F20" s="145" t="s">
        <v>9</v>
      </c>
      <c r="G20" s="145" t="s">
        <v>1</v>
      </c>
      <c r="BL20" s="132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CQ20" s="162" t="s">
        <v>43</v>
      </c>
      <c r="CR20" s="162">
        <v>2</v>
      </c>
      <c r="CS20" s="162" t="s">
        <v>170</v>
      </c>
      <c r="CT20" s="162" t="s">
        <v>46</v>
      </c>
      <c r="CU20" s="162" t="s">
        <v>171</v>
      </c>
      <c r="CV20" s="167"/>
      <c r="CW20" s="168" t="s">
        <v>43</v>
      </c>
      <c r="CX20" s="169">
        <v>4</v>
      </c>
      <c r="CY20" s="169">
        <v>0</v>
      </c>
      <c r="CZ20" s="169">
        <v>0</v>
      </c>
    </row>
    <row r="21" ht="16.5" spans="1:104">
      <c r="A21" s="198" t="s">
        <v>172</v>
      </c>
      <c r="B21" s="198">
        <v>92</v>
      </c>
      <c r="C21" s="198">
        <v>83</v>
      </c>
      <c r="D21" s="198">
        <v>84</v>
      </c>
      <c r="E21" s="198">
        <v>76</v>
      </c>
      <c r="F21" s="198">
        <v>74</v>
      </c>
      <c r="G21" s="198">
        <v>72</v>
      </c>
      <c r="BL21" s="132"/>
      <c r="BM21" s="226"/>
      <c r="BN21" s="226"/>
      <c r="BO21" s="226"/>
      <c r="BP21" s="226"/>
      <c r="BQ21" s="226"/>
      <c r="BR21" s="226"/>
      <c r="BS21" s="226"/>
      <c r="BT21" s="226"/>
      <c r="BU21" s="226"/>
      <c r="BV21" s="226"/>
      <c r="BW21" s="226"/>
      <c r="BX21" s="226"/>
      <c r="CQ21" s="162"/>
      <c r="CR21" s="162"/>
      <c r="CS21" s="162"/>
      <c r="CT21" s="162"/>
      <c r="CU21" s="162"/>
      <c r="CV21" s="167"/>
      <c r="CW21" s="168" t="s">
        <v>64</v>
      </c>
      <c r="CX21" s="169">
        <v>0</v>
      </c>
      <c r="CY21" s="169">
        <v>14</v>
      </c>
      <c r="CZ21" s="169">
        <v>0</v>
      </c>
    </row>
    <row r="22" ht="16.5" spans="1:104">
      <c r="A22" s="188" t="s">
        <v>52</v>
      </c>
      <c r="B22" s="188">
        <v>73</v>
      </c>
      <c r="C22" s="188">
        <v>66</v>
      </c>
      <c r="D22" s="188">
        <v>66</v>
      </c>
      <c r="E22" s="188">
        <v>59</v>
      </c>
      <c r="F22" s="188">
        <v>56</v>
      </c>
      <c r="G22" s="188">
        <v>52</v>
      </c>
      <c r="CQ22" s="159" t="s">
        <v>83</v>
      </c>
      <c r="CR22" s="159">
        <v>21</v>
      </c>
      <c r="CS22" s="159" t="s">
        <v>173</v>
      </c>
      <c r="CT22" s="159" t="s">
        <v>46</v>
      </c>
      <c r="CU22" s="159" t="s">
        <v>174</v>
      </c>
      <c r="CV22" s="152"/>
      <c r="CW22" s="170" t="s">
        <v>83</v>
      </c>
      <c r="CX22" s="171">
        <v>8</v>
      </c>
      <c r="CY22" s="171">
        <v>44</v>
      </c>
      <c r="CZ22" s="171">
        <v>12</v>
      </c>
    </row>
    <row r="23" ht="16.5" spans="1:104">
      <c r="A23" s="192" t="s">
        <v>175</v>
      </c>
      <c r="B23" s="192">
        <v>9</v>
      </c>
      <c r="C23" s="192">
        <v>7</v>
      </c>
      <c r="D23" s="192">
        <v>8</v>
      </c>
      <c r="E23" s="192">
        <v>6</v>
      </c>
      <c r="F23" s="192">
        <v>7</v>
      </c>
      <c r="G23" s="192">
        <v>9</v>
      </c>
      <c r="CQ23" s="159"/>
      <c r="CR23" s="159"/>
      <c r="CS23" s="159"/>
      <c r="CT23" s="159"/>
      <c r="CU23" s="159"/>
      <c r="CV23" s="167"/>
      <c r="CW23" s="172" t="s">
        <v>100</v>
      </c>
      <c r="CX23" s="171">
        <v>1</v>
      </c>
      <c r="CY23" s="171">
        <v>0</v>
      </c>
      <c r="CZ23" s="171">
        <v>0</v>
      </c>
    </row>
    <row r="24" ht="16.5" spans="1:104">
      <c r="A24" s="188" t="s">
        <v>176</v>
      </c>
      <c r="B24" s="188">
        <v>5</v>
      </c>
      <c r="C24" s="188">
        <v>5</v>
      </c>
      <c r="D24" s="188">
        <v>5</v>
      </c>
      <c r="E24" s="188">
        <v>6</v>
      </c>
      <c r="F24" s="188">
        <v>6</v>
      </c>
      <c r="G24" s="188">
        <v>6</v>
      </c>
      <c r="CQ24" s="159"/>
      <c r="CR24" s="159"/>
      <c r="CS24" s="159"/>
      <c r="CT24" s="159"/>
      <c r="CU24" s="159"/>
      <c r="CV24" s="167"/>
      <c r="CW24" s="172" t="s">
        <v>114</v>
      </c>
      <c r="CX24" s="171">
        <v>7</v>
      </c>
      <c r="CY24" s="171">
        <v>3</v>
      </c>
      <c r="CZ24" s="173">
        <v>0</v>
      </c>
    </row>
    <row r="25" ht="16.5" spans="1:104">
      <c r="A25" s="192" t="s">
        <v>177</v>
      </c>
      <c r="B25" s="192">
        <v>5</v>
      </c>
      <c r="C25" s="192">
        <v>5</v>
      </c>
      <c r="D25" s="192">
        <v>5</v>
      </c>
      <c r="E25" s="192">
        <v>5</v>
      </c>
      <c r="F25" s="192">
        <v>5</v>
      </c>
      <c r="G25" s="192">
        <v>5</v>
      </c>
      <c r="CQ25" s="162" t="s">
        <v>93</v>
      </c>
      <c r="CR25" s="162">
        <v>9</v>
      </c>
      <c r="CS25" s="162" t="s">
        <v>178</v>
      </c>
      <c r="CT25" s="162" t="s">
        <v>126</v>
      </c>
      <c r="CU25" s="162" t="s">
        <v>179</v>
      </c>
      <c r="CV25" s="152"/>
      <c r="CW25" s="174" t="s">
        <v>44</v>
      </c>
      <c r="CX25" s="169">
        <v>0</v>
      </c>
      <c r="CY25" s="169">
        <v>1100</v>
      </c>
      <c r="CZ25" s="169">
        <v>98</v>
      </c>
    </row>
    <row r="26" spans="95:104">
      <c r="CQ26" s="162" t="s">
        <v>180</v>
      </c>
      <c r="CR26" s="162">
        <v>3</v>
      </c>
      <c r="CS26" s="162" t="s">
        <v>181</v>
      </c>
      <c r="CT26" s="162" t="s">
        <v>181</v>
      </c>
      <c r="CU26" s="162" t="s">
        <v>181</v>
      </c>
      <c r="CV26" s="167"/>
      <c r="CW26" s="174" t="s">
        <v>65</v>
      </c>
      <c r="CX26" s="169">
        <v>3</v>
      </c>
      <c r="CY26" s="169">
        <v>0</v>
      </c>
      <c r="CZ26" s="169">
        <v>0</v>
      </c>
    </row>
    <row r="27" ht="16.5" spans="95:104">
      <c r="CQ27" s="162" t="s">
        <v>131</v>
      </c>
      <c r="CR27" s="162">
        <v>2</v>
      </c>
      <c r="CS27" s="162" t="s">
        <v>181</v>
      </c>
      <c r="CT27" s="162" t="s">
        <v>181</v>
      </c>
      <c r="CU27" s="162" t="s">
        <v>181</v>
      </c>
      <c r="CV27" s="152"/>
      <c r="CW27" s="174" t="s">
        <v>84</v>
      </c>
      <c r="CX27" s="169">
        <v>12</v>
      </c>
      <c r="CY27" s="169">
        <v>387</v>
      </c>
      <c r="CZ27" s="169">
        <v>45</v>
      </c>
    </row>
    <row r="28" ht="16.5" spans="1:104">
      <c r="A28" s="145" t="s">
        <v>182</v>
      </c>
      <c r="B28" s="145" t="s">
        <v>5</v>
      </c>
      <c r="C28" s="145" t="s">
        <v>6</v>
      </c>
      <c r="D28" s="145" t="s">
        <v>7</v>
      </c>
      <c r="E28" s="145" t="s">
        <v>8</v>
      </c>
      <c r="F28" s="145" t="s">
        <v>9</v>
      </c>
      <c r="G28" s="145" t="s">
        <v>1</v>
      </c>
      <c r="CQ28" s="153" t="s">
        <v>183</v>
      </c>
      <c r="CR28" s="229">
        <f>SUM(CR20:CR27)</f>
        <v>37</v>
      </c>
      <c r="CS28" s="230"/>
      <c r="CT28" s="231"/>
      <c r="CU28" s="232"/>
      <c r="CV28" s="167"/>
      <c r="CW28" s="174" t="s">
        <v>101</v>
      </c>
      <c r="CX28" s="169">
        <v>0</v>
      </c>
      <c r="CY28" s="169">
        <v>0</v>
      </c>
      <c r="CZ28" s="169">
        <v>0</v>
      </c>
    </row>
    <row r="29" ht="32.25" spans="1:104">
      <c r="A29" s="198" t="s">
        <v>32</v>
      </c>
      <c r="B29" s="198">
        <v>55</v>
      </c>
      <c r="C29" s="198">
        <v>60</v>
      </c>
      <c r="D29" s="198">
        <v>60</v>
      </c>
      <c r="E29" s="198">
        <v>60</v>
      </c>
      <c r="F29" s="198">
        <v>59</v>
      </c>
      <c r="G29" s="198">
        <v>60</v>
      </c>
      <c r="CQ29" s="153"/>
      <c r="CR29" s="153"/>
      <c r="CS29" s="153"/>
      <c r="CT29" s="153"/>
      <c r="CU29" s="153"/>
      <c r="CV29" s="152"/>
      <c r="CW29" s="175" t="s">
        <v>115</v>
      </c>
      <c r="CX29" s="169">
        <v>0</v>
      </c>
      <c r="CY29" s="169">
        <v>0</v>
      </c>
      <c r="CZ29" s="169">
        <v>0</v>
      </c>
    </row>
    <row r="30" ht="16.5" spans="1:7">
      <c r="A30" s="188" t="s">
        <v>53</v>
      </c>
      <c r="B30" s="188">
        <v>52</v>
      </c>
      <c r="C30" s="188">
        <v>58</v>
      </c>
      <c r="D30" s="188">
        <v>57</v>
      </c>
      <c r="E30" s="188">
        <v>57</v>
      </c>
      <c r="F30" s="188">
        <v>56</v>
      </c>
      <c r="G30" s="188">
        <v>58</v>
      </c>
    </row>
    <row r="31" ht="16.5" spans="1:7">
      <c r="A31" s="192" t="s">
        <v>73</v>
      </c>
      <c r="B31" s="192">
        <v>3</v>
      </c>
      <c r="C31" s="192">
        <v>2</v>
      </c>
      <c r="D31" s="192">
        <v>3</v>
      </c>
      <c r="E31" s="192">
        <v>3</v>
      </c>
      <c r="F31" s="192">
        <v>3</v>
      </c>
      <c r="G31" s="192">
        <v>2</v>
      </c>
    </row>
    <row r="32" spans="1:7">
      <c r="A32" s="189" t="s">
        <v>184</v>
      </c>
      <c r="B32" s="199" t="s">
        <v>185</v>
      </c>
      <c r="C32" s="200"/>
      <c r="D32" s="200"/>
      <c r="E32" s="200"/>
      <c r="F32" s="201"/>
      <c r="G32" s="202" t="s">
        <v>186</v>
      </c>
    </row>
    <row r="33" ht="16.5" spans="1:7">
      <c r="A33" s="190"/>
      <c r="B33" s="203" t="s">
        <v>187</v>
      </c>
      <c r="C33" s="204"/>
      <c r="D33" s="204"/>
      <c r="E33" s="204"/>
      <c r="F33" s="205"/>
      <c r="G33" s="206" t="s">
        <v>188</v>
      </c>
    </row>
    <row r="34" ht="16.5" spans="1:7">
      <c r="A34" s="207" t="s">
        <v>189</v>
      </c>
      <c r="B34" s="208" t="s">
        <v>190</v>
      </c>
      <c r="C34" s="209"/>
      <c r="D34" s="209"/>
      <c r="E34" s="209"/>
      <c r="F34" s="210"/>
      <c r="G34" s="206" t="s">
        <v>191</v>
      </c>
    </row>
    <row r="35" ht="16.5" spans="1:1">
      <c r="A35" s="211"/>
    </row>
    <row r="38" ht="16.5" spans="1:15">
      <c r="A38" s="145" t="s">
        <v>192</v>
      </c>
      <c r="B38" s="212" t="s">
        <v>21</v>
      </c>
      <c r="C38" s="213"/>
      <c r="D38" s="213"/>
      <c r="E38" s="213"/>
      <c r="F38" s="213"/>
      <c r="G38" s="214"/>
      <c r="H38" s="215"/>
      <c r="I38" s="212" t="s">
        <v>22</v>
      </c>
      <c r="J38" s="213"/>
      <c r="K38" s="213"/>
      <c r="L38" s="213"/>
      <c r="M38" s="213"/>
      <c r="N38" s="214"/>
      <c r="O38" s="223" t="s">
        <v>23</v>
      </c>
    </row>
    <row r="39" ht="16.5" spans="1:15">
      <c r="A39" s="216"/>
      <c r="B39" s="217" t="s">
        <v>5</v>
      </c>
      <c r="C39" s="217" t="s">
        <v>6</v>
      </c>
      <c r="D39" s="217" t="s">
        <v>7</v>
      </c>
      <c r="E39" s="217" t="s">
        <v>8</v>
      </c>
      <c r="F39" s="217" t="s">
        <v>9</v>
      </c>
      <c r="G39" s="217" t="s">
        <v>1</v>
      </c>
      <c r="H39" s="215"/>
      <c r="I39" s="217" t="s">
        <v>37</v>
      </c>
      <c r="J39" s="217" t="s">
        <v>38</v>
      </c>
      <c r="K39" s="217" t="s">
        <v>39</v>
      </c>
      <c r="L39" s="217" t="s">
        <v>40</v>
      </c>
      <c r="M39" s="217" t="s">
        <v>41</v>
      </c>
      <c r="N39" s="217" t="s">
        <v>42</v>
      </c>
      <c r="O39" s="216"/>
    </row>
    <row r="40" ht="16.5" spans="1:15">
      <c r="A40" s="218" t="s">
        <v>57</v>
      </c>
      <c r="B40" s="188">
        <v>37</v>
      </c>
      <c r="C40" s="188">
        <v>34</v>
      </c>
      <c r="D40" s="188">
        <v>38</v>
      </c>
      <c r="E40" s="188">
        <v>35</v>
      </c>
      <c r="F40" s="188">
        <v>35</v>
      </c>
      <c r="G40" s="188">
        <v>30</v>
      </c>
      <c r="H40" s="215"/>
      <c r="I40" s="188" t="s">
        <v>58</v>
      </c>
      <c r="J40" s="188" t="s">
        <v>59</v>
      </c>
      <c r="K40" s="188" t="s">
        <v>60</v>
      </c>
      <c r="L40" s="188" t="s">
        <v>61</v>
      </c>
      <c r="M40" s="188" t="s">
        <v>58</v>
      </c>
      <c r="N40" s="188" t="s">
        <v>62</v>
      </c>
      <c r="O40" s="188" t="s">
        <v>63</v>
      </c>
    </row>
    <row r="41" ht="16.5" spans="1:15">
      <c r="A41" s="219" t="s">
        <v>75</v>
      </c>
      <c r="B41" s="192">
        <v>10</v>
      </c>
      <c r="C41" s="192">
        <v>9</v>
      </c>
      <c r="D41" s="192">
        <v>8</v>
      </c>
      <c r="E41" s="192">
        <v>8</v>
      </c>
      <c r="F41" s="192">
        <v>6</v>
      </c>
      <c r="G41" s="192">
        <v>8</v>
      </c>
      <c r="H41" s="215"/>
      <c r="I41" s="192" t="s">
        <v>76</v>
      </c>
      <c r="J41" s="192" t="s">
        <v>77</v>
      </c>
      <c r="K41" s="192" t="s">
        <v>78</v>
      </c>
      <c r="L41" s="192" t="s">
        <v>79</v>
      </c>
      <c r="M41" s="192" t="s">
        <v>80</v>
      </c>
      <c r="N41" s="192" t="s">
        <v>81</v>
      </c>
      <c r="O41" s="192" t="s">
        <v>82</v>
      </c>
    </row>
    <row r="42" ht="16.5" spans="1:70">
      <c r="A42" s="218" t="s">
        <v>93</v>
      </c>
      <c r="B42" s="188">
        <v>13</v>
      </c>
      <c r="C42" s="188">
        <v>12</v>
      </c>
      <c r="D42" s="188">
        <v>11</v>
      </c>
      <c r="E42" s="188">
        <v>11</v>
      </c>
      <c r="F42" s="188">
        <v>10</v>
      </c>
      <c r="G42" s="188">
        <v>8</v>
      </c>
      <c r="H42" s="215"/>
      <c r="I42" s="188" t="s">
        <v>94</v>
      </c>
      <c r="J42" s="188" t="s">
        <v>95</v>
      </c>
      <c r="K42" s="188" t="s">
        <v>96</v>
      </c>
      <c r="L42" s="188" t="s">
        <v>97</v>
      </c>
      <c r="M42" s="188" t="s">
        <v>98</v>
      </c>
      <c r="N42" s="188" t="s">
        <v>99</v>
      </c>
      <c r="O42" s="188" t="s">
        <v>82</v>
      </c>
      <c r="BL42" s="132"/>
      <c r="BM42" s="227"/>
      <c r="BN42" s="227"/>
      <c r="BO42" s="227"/>
      <c r="BP42" s="227"/>
      <c r="BQ42" s="227"/>
      <c r="BR42" s="227"/>
    </row>
    <row r="43" ht="16.5" spans="1:15">
      <c r="A43" s="219" t="s">
        <v>110</v>
      </c>
      <c r="B43" s="192">
        <v>3</v>
      </c>
      <c r="C43" s="192">
        <v>3</v>
      </c>
      <c r="D43" s="192">
        <v>3</v>
      </c>
      <c r="E43" s="192">
        <v>3</v>
      </c>
      <c r="F43" s="192">
        <v>3</v>
      </c>
      <c r="G43" s="192">
        <v>4</v>
      </c>
      <c r="H43" s="215"/>
      <c r="I43" s="192" t="s">
        <v>111</v>
      </c>
      <c r="J43" s="192" t="s">
        <v>112</v>
      </c>
      <c r="K43" s="192" t="s">
        <v>113</v>
      </c>
      <c r="L43" s="192" t="s">
        <v>61</v>
      </c>
      <c r="M43" s="192" t="s">
        <v>81</v>
      </c>
      <c r="N43" s="192" t="s">
        <v>94</v>
      </c>
      <c r="O43" s="192" t="s">
        <v>63</v>
      </c>
    </row>
    <row r="44" ht="16.5" spans="1:15">
      <c r="A44" s="218" t="s">
        <v>101</v>
      </c>
      <c r="B44" s="188">
        <v>3</v>
      </c>
      <c r="C44" s="188">
        <v>3</v>
      </c>
      <c r="D44" s="188">
        <v>2</v>
      </c>
      <c r="E44" s="188">
        <v>1</v>
      </c>
      <c r="F44" s="188">
        <v>1</v>
      </c>
      <c r="G44" s="188">
        <v>1</v>
      </c>
      <c r="H44" s="215"/>
      <c r="I44" s="188" t="s">
        <v>118</v>
      </c>
      <c r="J44" s="188" t="s">
        <v>119</v>
      </c>
      <c r="K44" s="188" t="s">
        <v>120</v>
      </c>
      <c r="L44" s="188" t="s">
        <v>121</v>
      </c>
      <c r="M44" s="188" t="s">
        <v>122</v>
      </c>
      <c r="N44" s="188" t="s">
        <v>123</v>
      </c>
      <c r="O44" s="188" t="s">
        <v>124</v>
      </c>
    </row>
    <row r="45" ht="16.5" spans="1:15">
      <c r="A45" s="219" t="s">
        <v>131</v>
      </c>
      <c r="B45" s="192">
        <v>5</v>
      </c>
      <c r="C45" s="192">
        <v>2</v>
      </c>
      <c r="D45" s="192">
        <v>1</v>
      </c>
      <c r="E45" s="192">
        <v>1</v>
      </c>
      <c r="F45" s="192">
        <v>1</v>
      </c>
      <c r="G45" s="192">
        <v>1</v>
      </c>
      <c r="H45" s="215"/>
      <c r="I45" s="192" t="s">
        <v>132</v>
      </c>
      <c r="J45" s="192"/>
      <c r="K45" s="192"/>
      <c r="L45" s="192" t="s">
        <v>133</v>
      </c>
      <c r="M45" s="192" t="s">
        <v>134</v>
      </c>
      <c r="N45" s="192" t="s">
        <v>123</v>
      </c>
      <c r="O45" s="224">
        <v>0.01</v>
      </c>
    </row>
    <row r="48" ht="16.5" spans="1:7">
      <c r="A48" s="145" t="s">
        <v>24</v>
      </c>
      <c r="B48" s="145" t="s">
        <v>5</v>
      </c>
      <c r="C48" s="145" t="s">
        <v>6</v>
      </c>
      <c r="D48" s="145" t="s">
        <v>7</v>
      </c>
      <c r="E48" s="145" t="s">
        <v>8</v>
      </c>
      <c r="F48" s="145" t="s">
        <v>9</v>
      </c>
      <c r="G48" s="145" t="s">
        <v>1</v>
      </c>
    </row>
    <row r="49" ht="16.5" spans="1:7">
      <c r="A49" s="146" t="s">
        <v>43</v>
      </c>
      <c r="B49" s="146">
        <v>2</v>
      </c>
      <c r="C49" s="146">
        <v>0</v>
      </c>
      <c r="D49" s="146">
        <v>0</v>
      </c>
      <c r="E49" s="146">
        <v>4</v>
      </c>
      <c r="F49" s="146">
        <v>0</v>
      </c>
      <c r="G49" s="146">
        <v>0</v>
      </c>
    </row>
    <row r="50" ht="16.5" spans="1:7">
      <c r="A50" s="146" t="s">
        <v>64</v>
      </c>
      <c r="B50" s="146">
        <v>0</v>
      </c>
      <c r="C50" s="146">
        <v>3</v>
      </c>
      <c r="D50" s="146">
        <v>18</v>
      </c>
      <c r="E50" s="146">
        <v>0</v>
      </c>
      <c r="F50" s="146">
        <v>14</v>
      </c>
      <c r="G50" s="146">
        <v>0</v>
      </c>
    </row>
    <row r="51" ht="16.5" spans="1:7">
      <c r="A51" s="220" t="s">
        <v>83</v>
      </c>
      <c r="B51" s="220">
        <v>35</v>
      </c>
      <c r="C51" s="220">
        <v>7</v>
      </c>
      <c r="D51" s="220">
        <v>16</v>
      </c>
      <c r="E51" s="220">
        <v>8</v>
      </c>
      <c r="F51" s="220">
        <v>44</v>
      </c>
      <c r="G51" s="220">
        <v>12</v>
      </c>
    </row>
    <row r="52" ht="16.5" spans="1:7">
      <c r="A52" s="220" t="s">
        <v>100</v>
      </c>
      <c r="B52" s="220">
        <v>0</v>
      </c>
      <c r="C52" s="220">
        <v>0</v>
      </c>
      <c r="D52" s="220">
        <v>2</v>
      </c>
      <c r="E52" s="220">
        <v>1</v>
      </c>
      <c r="F52" s="220">
        <v>0</v>
      </c>
      <c r="G52" s="220">
        <v>0</v>
      </c>
    </row>
    <row r="53" ht="16.5" spans="1:7">
      <c r="A53" s="220" t="s">
        <v>114</v>
      </c>
      <c r="B53" s="220">
        <v>3</v>
      </c>
      <c r="C53" s="220">
        <v>24</v>
      </c>
      <c r="D53" s="220">
        <v>1</v>
      </c>
      <c r="E53" s="220">
        <v>7</v>
      </c>
      <c r="F53" s="220">
        <v>3</v>
      </c>
      <c r="G53" s="220">
        <v>0</v>
      </c>
    </row>
    <row r="54" ht="16.5" spans="1:7">
      <c r="A54" s="146" t="s">
        <v>110</v>
      </c>
      <c r="B54" s="146">
        <v>0</v>
      </c>
      <c r="C54" s="146">
        <v>0</v>
      </c>
      <c r="D54" s="146">
        <v>0</v>
      </c>
      <c r="E54" s="146">
        <v>1</v>
      </c>
      <c r="F54" s="146">
        <v>0</v>
      </c>
      <c r="G54" s="146">
        <v>0</v>
      </c>
    </row>
    <row r="57" ht="16.5" spans="1:7">
      <c r="A57" s="145" t="s">
        <v>24</v>
      </c>
      <c r="B57" s="145" t="s">
        <v>5</v>
      </c>
      <c r="C57" s="145" t="s">
        <v>6</v>
      </c>
      <c r="D57" s="145" t="s">
        <v>7</v>
      </c>
      <c r="E57" s="145" t="s">
        <v>8</v>
      </c>
      <c r="F57" s="145" t="s">
        <v>9</v>
      </c>
      <c r="G57" s="145" t="s">
        <v>1</v>
      </c>
    </row>
    <row r="58" ht="16.5" spans="1:7">
      <c r="A58" s="146" t="s">
        <v>44</v>
      </c>
      <c r="B58" s="146">
        <v>71</v>
      </c>
      <c r="C58" s="146">
        <v>142</v>
      </c>
      <c r="D58" s="146">
        <v>11</v>
      </c>
      <c r="E58" s="146">
        <v>0</v>
      </c>
      <c r="F58" s="146">
        <v>1100</v>
      </c>
      <c r="G58" s="146">
        <v>98</v>
      </c>
    </row>
    <row r="59" ht="16.5" spans="1:7">
      <c r="A59" s="146" t="s">
        <v>65</v>
      </c>
      <c r="B59" s="146">
        <v>0</v>
      </c>
      <c r="C59" s="146">
        <v>0</v>
      </c>
      <c r="D59" s="146">
        <v>1</v>
      </c>
      <c r="E59" s="146">
        <v>3</v>
      </c>
      <c r="F59" s="146">
        <v>0</v>
      </c>
      <c r="G59" s="146">
        <v>0</v>
      </c>
    </row>
    <row r="60" ht="16.5" spans="1:7">
      <c r="A60" s="146" t="s">
        <v>84</v>
      </c>
      <c r="B60" s="146">
        <v>1</v>
      </c>
      <c r="C60" s="146">
        <v>374</v>
      </c>
      <c r="D60" s="146">
        <v>174</v>
      </c>
      <c r="E60" s="146">
        <v>12</v>
      </c>
      <c r="F60" s="146">
        <v>387</v>
      </c>
      <c r="G60" s="146">
        <v>45</v>
      </c>
    </row>
    <row r="61" ht="16.5" spans="1:7">
      <c r="A61" s="146" t="s">
        <v>101</v>
      </c>
      <c r="B61" s="146">
        <v>0</v>
      </c>
      <c r="C61" s="146">
        <v>0</v>
      </c>
      <c r="D61" s="146">
        <v>0</v>
      </c>
      <c r="E61" s="146">
        <v>0</v>
      </c>
      <c r="F61" s="146">
        <v>0</v>
      </c>
      <c r="G61" s="146">
        <v>0</v>
      </c>
    </row>
    <row r="62" ht="16.5" spans="1:7">
      <c r="A62" s="146" t="s">
        <v>115</v>
      </c>
      <c r="B62" s="146">
        <v>0</v>
      </c>
      <c r="C62" s="146">
        <v>6</v>
      </c>
      <c r="D62" s="146">
        <v>1</v>
      </c>
      <c r="E62" s="146">
        <v>0</v>
      </c>
      <c r="F62" s="146">
        <v>0</v>
      </c>
      <c r="G62" s="146">
        <v>0</v>
      </c>
    </row>
    <row r="63" ht="16.5" spans="1:7">
      <c r="A63" s="147" t="s">
        <v>125</v>
      </c>
      <c r="B63" s="221">
        <v>3</v>
      </c>
      <c r="C63" s="221">
        <v>3</v>
      </c>
      <c r="D63" s="221">
        <v>3</v>
      </c>
      <c r="E63" s="221">
        <v>4</v>
      </c>
      <c r="F63" s="221"/>
      <c r="G63" s="221"/>
    </row>
    <row r="64" ht="16.5" spans="1:7">
      <c r="A64" s="222"/>
      <c r="B64" s="221"/>
      <c r="C64" s="221"/>
      <c r="D64" s="221"/>
      <c r="E64" s="221"/>
      <c r="F64" s="221"/>
      <c r="G64" s="221"/>
    </row>
    <row r="65" ht="16.5" spans="1:7">
      <c r="A65" s="222"/>
      <c r="B65" s="221"/>
      <c r="C65" s="221"/>
      <c r="D65" s="221"/>
      <c r="E65" s="221"/>
      <c r="F65" s="221"/>
      <c r="G65" s="221"/>
    </row>
    <row r="66" ht="16.5" spans="1:7">
      <c r="A66" s="148" t="s">
        <v>138</v>
      </c>
      <c r="B66" s="221"/>
      <c r="C66" s="221"/>
      <c r="D66" s="221"/>
      <c r="E66" s="221"/>
      <c r="F66" s="221"/>
      <c r="G66" s="221"/>
    </row>
    <row r="67" ht="16.5" spans="1:7">
      <c r="A67" s="222"/>
      <c r="B67" s="221"/>
      <c r="C67" s="221"/>
      <c r="D67" s="221"/>
      <c r="E67" s="221"/>
      <c r="F67" s="221"/>
      <c r="G67" s="221"/>
    </row>
    <row r="68" ht="32.25" spans="1:7">
      <c r="A68" s="149" t="s">
        <v>147</v>
      </c>
      <c r="B68" s="221"/>
      <c r="C68" s="221"/>
      <c r="D68" s="221"/>
      <c r="E68" s="221"/>
      <c r="F68" s="221"/>
      <c r="G68" s="221"/>
    </row>
    <row r="71" ht="16.5" spans="1:10">
      <c r="A71" s="233" t="s">
        <v>1</v>
      </c>
      <c r="B71" s="234" t="s">
        <v>25</v>
      </c>
      <c r="C71" s="234" t="s">
        <v>26</v>
      </c>
      <c r="D71" s="234" t="s">
        <v>27</v>
      </c>
      <c r="E71" s="234" t="s">
        <v>28</v>
      </c>
      <c r="F71" s="235"/>
      <c r="G71" s="234" t="s">
        <v>29</v>
      </c>
      <c r="H71" s="234" t="s">
        <v>8</v>
      </c>
      <c r="I71" s="234" t="s">
        <v>9</v>
      </c>
      <c r="J71" s="234" t="s">
        <v>1</v>
      </c>
    </row>
    <row r="72" ht="16.5" spans="1:10">
      <c r="A72" s="236" t="s">
        <v>43</v>
      </c>
      <c r="B72" s="236">
        <v>8</v>
      </c>
      <c r="C72" s="236" t="s">
        <v>45</v>
      </c>
      <c r="D72" s="236" t="s">
        <v>46</v>
      </c>
      <c r="E72" s="236" t="s">
        <v>47</v>
      </c>
      <c r="F72" s="237"/>
      <c r="G72" s="238" t="s">
        <v>43</v>
      </c>
      <c r="H72" s="239">
        <v>4</v>
      </c>
      <c r="I72" s="239">
        <v>0</v>
      </c>
      <c r="J72" s="239">
        <v>0</v>
      </c>
    </row>
    <row r="73" ht="16.5" spans="1:10">
      <c r="A73" s="236"/>
      <c r="B73" s="236"/>
      <c r="C73" s="236"/>
      <c r="D73" s="236"/>
      <c r="E73" s="236"/>
      <c r="F73" s="237"/>
      <c r="G73" s="238" t="s">
        <v>64</v>
      </c>
      <c r="H73" s="239">
        <v>0</v>
      </c>
      <c r="I73" s="239">
        <v>14</v>
      </c>
      <c r="J73" s="239">
        <v>0</v>
      </c>
    </row>
    <row r="74" ht="16.5" spans="1:10">
      <c r="A74" s="240" t="s">
        <v>83</v>
      </c>
      <c r="B74" s="240">
        <v>30</v>
      </c>
      <c r="C74" s="240" t="s">
        <v>85</v>
      </c>
      <c r="D74" s="240" t="s">
        <v>46</v>
      </c>
      <c r="E74" s="240" t="s">
        <v>86</v>
      </c>
      <c r="F74" s="241"/>
      <c r="G74" s="242" t="s">
        <v>83</v>
      </c>
      <c r="H74" s="243">
        <v>8</v>
      </c>
      <c r="I74" s="243">
        <v>44</v>
      </c>
      <c r="J74" s="243">
        <v>12</v>
      </c>
    </row>
    <row r="75" ht="16.5" spans="1:10">
      <c r="A75" s="240"/>
      <c r="B75" s="240"/>
      <c r="C75" s="240"/>
      <c r="D75" s="240"/>
      <c r="E75" s="240"/>
      <c r="F75" s="237"/>
      <c r="G75" s="244" t="s">
        <v>100</v>
      </c>
      <c r="H75" s="243">
        <v>1</v>
      </c>
      <c r="I75" s="243">
        <v>0</v>
      </c>
      <c r="J75" s="243">
        <v>0</v>
      </c>
    </row>
    <row r="76" ht="16.5" spans="1:10">
      <c r="A76" s="240"/>
      <c r="B76" s="240"/>
      <c r="C76" s="240"/>
      <c r="D76" s="240"/>
      <c r="E76" s="240"/>
      <c r="F76" s="237"/>
      <c r="G76" s="244" t="s">
        <v>114</v>
      </c>
      <c r="H76" s="243">
        <v>7</v>
      </c>
      <c r="I76" s="243">
        <v>3</v>
      </c>
      <c r="J76" s="249">
        <v>0</v>
      </c>
    </row>
    <row r="77" ht="16.5" spans="1:10">
      <c r="A77" s="245" t="s">
        <v>93</v>
      </c>
      <c r="B77" s="245">
        <v>8</v>
      </c>
      <c r="C77" s="245" t="s">
        <v>45</v>
      </c>
      <c r="D77" s="245" t="s">
        <v>126</v>
      </c>
      <c r="E77" s="245" t="s">
        <v>127</v>
      </c>
      <c r="F77" s="241"/>
      <c r="G77" s="246" t="s">
        <v>44</v>
      </c>
      <c r="H77" s="239">
        <v>0</v>
      </c>
      <c r="I77" s="239">
        <v>1100</v>
      </c>
      <c r="J77" s="239">
        <v>98</v>
      </c>
    </row>
    <row r="78" ht="16.5" spans="1:10">
      <c r="A78" s="245"/>
      <c r="B78" s="245"/>
      <c r="C78" s="245"/>
      <c r="D78" s="245"/>
      <c r="E78" s="245"/>
      <c r="F78" s="237"/>
      <c r="G78" s="246" t="s">
        <v>65</v>
      </c>
      <c r="H78" s="239">
        <v>3</v>
      </c>
      <c r="I78" s="239">
        <v>0</v>
      </c>
      <c r="J78" s="239">
        <v>0</v>
      </c>
    </row>
    <row r="79" ht="16.5" spans="1:10">
      <c r="A79" s="245"/>
      <c r="B79" s="245"/>
      <c r="C79" s="245"/>
      <c r="D79" s="245"/>
      <c r="E79" s="245"/>
      <c r="F79" s="241"/>
      <c r="G79" s="246" t="s">
        <v>84</v>
      </c>
      <c r="H79" s="239">
        <v>12</v>
      </c>
      <c r="I79" s="239">
        <v>387</v>
      </c>
      <c r="J79" s="239">
        <v>45</v>
      </c>
    </row>
    <row r="80" ht="16.5" spans="1:10">
      <c r="A80" s="245"/>
      <c r="B80" s="245"/>
      <c r="C80" s="245"/>
      <c r="D80" s="245"/>
      <c r="E80" s="245"/>
      <c r="F80" s="237"/>
      <c r="G80" s="246" t="s">
        <v>101</v>
      </c>
      <c r="H80" s="239">
        <v>0</v>
      </c>
      <c r="I80" s="239">
        <v>0</v>
      </c>
      <c r="J80" s="239">
        <v>0</v>
      </c>
    </row>
    <row r="81" ht="16.5" spans="1:10">
      <c r="A81" s="245"/>
      <c r="B81" s="245"/>
      <c r="C81" s="245"/>
      <c r="D81" s="245"/>
      <c r="E81" s="245"/>
      <c r="F81" s="247"/>
      <c r="G81" s="248" t="s">
        <v>115</v>
      </c>
      <c r="H81" s="239">
        <v>0</v>
      </c>
      <c r="I81" s="239">
        <v>0</v>
      </c>
      <c r="J81" s="239">
        <v>0</v>
      </c>
    </row>
  </sheetData>
  <mergeCells count="56">
    <mergeCell ref="AX1:BC1"/>
    <mergeCell ref="BE1:BJ1"/>
    <mergeCell ref="BM1:BR1"/>
    <mergeCell ref="BS1:BX1"/>
    <mergeCell ref="AQ5:AU5"/>
    <mergeCell ref="BS8:BU8"/>
    <mergeCell ref="BS20:BU20"/>
    <mergeCell ref="CS28:CU28"/>
    <mergeCell ref="B32:F32"/>
    <mergeCell ref="B33:F33"/>
    <mergeCell ref="B34:F34"/>
    <mergeCell ref="B38:G38"/>
    <mergeCell ref="I38:N38"/>
    <mergeCell ref="I45:K45"/>
    <mergeCell ref="A3:A5"/>
    <mergeCell ref="A6:A8"/>
    <mergeCell ref="A72:A73"/>
    <mergeCell ref="A74:A76"/>
    <mergeCell ref="B63:B68"/>
    <mergeCell ref="B72:B73"/>
    <mergeCell ref="B74:B76"/>
    <mergeCell ref="C63:C68"/>
    <mergeCell ref="C72:C73"/>
    <mergeCell ref="C74:C76"/>
    <mergeCell ref="D63:D68"/>
    <mergeCell ref="D72:D73"/>
    <mergeCell ref="D74:D76"/>
    <mergeCell ref="E72:E73"/>
    <mergeCell ref="E74:E76"/>
    <mergeCell ref="R3:R4"/>
    <mergeCell ref="R5:R6"/>
    <mergeCell ref="CJ7:CJ12"/>
    <mergeCell ref="CK7:CK12"/>
    <mergeCell ref="CL7:CL12"/>
    <mergeCell ref="CQ2:CQ3"/>
    <mergeCell ref="CQ4:CQ6"/>
    <mergeCell ref="CQ20:CQ21"/>
    <mergeCell ref="CQ22:CQ24"/>
    <mergeCell ref="CR2:CR3"/>
    <mergeCell ref="CR4:CR6"/>
    <mergeCell ref="CR20:CR21"/>
    <mergeCell ref="CR22:CR24"/>
    <mergeCell ref="CS2:CS3"/>
    <mergeCell ref="CS4:CS6"/>
    <mergeCell ref="CS20:CS21"/>
    <mergeCell ref="CS22:CS24"/>
    <mergeCell ref="CT2:CT3"/>
    <mergeCell ref="CT4:CT6"/>
    <mergeCell ref="CT20:CT21"/>
    <mergeCell ref="CT22:CT24"/>
    <mergeCell ref="CU2:CU3"/>
    <mergeCell ref="CU4:CU6"/>
    <mergeCell ref="CU20:CU21"/>
    <mergeCell ref="CU22:CU24"/>
    <mergeCell ref="E63:G68"/>
    <mergeCell ref="CM7:CO12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39"/>
  <sheetViews>
    <sheetView zoomScale="60" zoomScaleNormal="60" workbookViewId="0">
      <selection activeCell="BN28" sqref="BN28"/>
    </sheetView>
  </sheetViews>
  <sheetFormatPr defaultColWidth="9.14285714285714" defaultRowHeight="15.75"/>
  <cols>
    <col min="1" max="1" width="7.42857142857143" style="74" customWidth="1"/>
    <col min="2" max="2" width="20" style="74" customWidth="1"/>
    <col min="3" max="3" width="7.85714285714286" style="74" customWidth="1"/>
    <col min="4" max="4" width="7.28571428571429" style="74" customWidth="1"/>
    <col min="5" max="5" width="8" style="74" customWidth="1"/>
    <col min="6" max="6" width="7.85714285714286" style="74" customWidth="1"/>
    <col min="7" max="7" width="8.20952380952381" style="74" customWidth="1"/>
    <col min="8" max="8" width="6.95238095238095" style="74" customWidth="1"/>
    <col min="9" max="9" width="9.1047619047619" style="74" customWidth="1"/>
    <col min="10" max="10" width="21.9619047619048" style="74" customWidth="1"/>
    <col min="11" max="17" width="9.14285714285714" style="74"/>
    <col min="18" max="18" width="15.7142857142857" style="74" customWidth="1"/>
    <col min="19" max="25" width="9.14285714285714" style="74"/>
    <col min="26" max="26" width="15.8666666666667" style="74" customWidth="1"/>
    <col min="27" max="33" width="9.14285714285714" style="74"/>
    <col min="34" max="34" width="24.1047619047619" style="74" customWidth="1"/>
    <col min="35" max="39" width="9.14285714285714" style="74"/>
    <col min="40" max="40" width="17.1428571428571" style="74" customWidth="1"/>
    <col min="41" max="41" width="9.14285714285714" style="74"/>
    <col min="42" max="42" width="20.8857142857143" style="74" customWidth="1"/>
    <col min="43" max="43" width="8.75238095238095" style="74" customWidth="1"/>
    <col min="44" max="44" width="4.28571428571429" style="74" customWidth="1"/>
    <col min="45" max="45" width="6.6" style="74" customWidth="1"/>
    <col min="46" max="46" width="5.8952380952381" style="74" customWidth="1"/>
    <col min="47" max="47" width="56.9619047619048" style="74" customWidth="1"/>
    <col min="48" max="48" width="9.14285714285714" style="74"/>
    <col min="49" max="49" width="29.1428571428571" style="74" customWidth="1"/>
    <col min="50" max="50" width="14.6380952380952" style="74" customWidth="1"/>
    <col min="51" max="53" width="9.14285714285714" style="74"/>
    <col min="54" max="54" width="79.5238095238095" style="74" customWidth="1"/>
    <col min="55" max="55" width="9.14285714285714" style="74"/>
    <col min="56" max="56" width="24.6" style="74" customWidth="1"/>
    <col min="57" max="62" width="9.14285714285714" style="74"/>
    <col min="63" max="63" width="20.7142857142857" style="74" customWidth="1"/>
    <col min="64" max="68" width="9.14285714285714" style="74"/>
    <col min="69" max="69" width="21.9619047619048" style="74" customWidth="1"/>
    <col min="70" max="70" width="9.14285714285714" style="74"/>
    <col min="71" max="71" width="15.7142857142857" style="74" customWidth="1"/>
    <col min="72" max="78" width="9.14285714285714" style="74"/>
    <col min="79" max="79" width="28.8095238095238" style="74" customWidth="1"/>
    <col min="80" max="80" width="11.1904761904762" style="74" customWidth="1"/>
    <col min="81" max="81" width="11.9047619047619" style="74" customWidth="1"/>
    <col min="82" max="82" width="11.6666666666667" style="74" customWidth="1"/>
    <col min="83" max="86" width="9.14285714285714" style="74"/>
    <col min="87" max="87" width="17.1428571428571" style="75" customWidth="1"/>
    <col min="88" max="88" width="9.14285714285714" style="75"/>
    <col min="89" max="89" width="19.5238095238095" style="75" customWidth="1"/>
    <col min="90" max="90" width="16.0285714285714" style="75" customWidth="1"/>
    <col min="91" max="91" width="11.8952380952381" style="75" customWidth="1"/>
    <col min="92" max="92" width="8.85714285714286" style="75" customWidth="1"/>
    <col min="93" max="93" width="17.7142857142857" style="75" customWidth="1"/>
    <col min="94" max="96" width="9.14285714285714" style="75"/>
    <col min="97" max="16384" width="9.14285714285714" style="74"/>
  </cols>
  <sheetData>
    <row r="1" ht="32.25" spans="1:96">
      <c r="A1" s="76" t="s">
        <v>193</v>
      </c>
      <c r="B1" s="77"/>
      <c r="C1" s="77" t="s">
        <v>5</v>
      </c>
      <c r="D1" s="77" t="s">
        <v>6</v>
      </c>
      <c r="E1" s="77" t="s">
        <v>7</v>
      </c>
      <c r="F1" s="77" t="s">
        <v>8</v>
      </c>
      <c r="G1" s="77" t="s">
        <v>9</v>
      </c>
      <c r="H1" s="77" t="s">
        <v>1</v>
      </c>
      <c r="J1" s="85"/>
      <c r="K1" s="85" t="s">
        <v>5</v>
      </c>
      <c r="L1" s="85" t="s">
        <v>6</v>
      </c>
      <c r="M1" s="85" t="s">
        <v>7</v>
      </c>
      <c r="N1" s="85" t="s">
        <v>8</v>
      </c>
      <c r="O1" s="85" t="s">
        <v>9</v>
      </c>
      <c r="P1" s="85" t="s">
        <v>1</v>
      </c>
      <c r="R1" s="77" t="s">
        <v>18</v>
      </c>
      <c r="S1" s="77" t="s">
        <v>5</v>
      </c>
      <c r="T1" s="77" t="s">
        <v>6</v>
      </c>
      <c r="U1" s="77" t="s">
        <v>7</v>
      </c>
      <c r="V1" s="77" t="s">
        <v>8</v>
      </c>
      <c r="W1" s="77" t="s">
        <v>9</v>
      </c>
      <c r="X1" s="77" t="s">
        <v>1</v>
      </c>
      <c r="Z1" s="77" t="s">
        <v>18</v>
      </c>
      <c r="AA1" s="77" t="s">
        <v>5</v>
      </c>
      <c r="AB1" s="77" t="s">
        <v>6</v>
      </c>
      <c r="AC1" s="77" t="s">
        <v>7</v>
      </c>
      <c r="AD1" s="77" t="s">
        <v>8</v>
      </c>
      <c r="AE1" s="77" t="s">
        <v>9</v>
      </c>
      <c r="AF1" s="77" t="s">
        <v>1</v>
      </c>
      <c r="AH1" s="77"/>
      <c r="AI1" s="77" t="s">
        <v>5</v>
      </c>
      <c r="AJ1" s="77" t="s">
        <v>6</v>
      </c>
      <c r="AK1" s="77" t="s">
        <v>7</v>
      </c>
      <c r="AL1" s="77" t="s">
        <v>8</v>
      </c>
      <c r="AM1" s="77" t="s">
        <v>9</v>
      </c>
      <c r="AN1" s="77" t="s">
        <v>1</v>
      </c>
      <c r="AP1" s="98" t="s">
        <v>19</v>
      </c>
      <c r="AQ1" s="98"/>
      <c r="AR1" s="98"/>
      <c r="AS1" s="98"/>
      <c r="AT1" s="98"/>
      <c r="AU1" s="98"/>
      <c r="AW1" s="98" t="s">
        <v>20</v>
      </c>
      <c r="AX1" s="98"/>
      <c r="AY1" s="98"/>
      <c r="AZ1" s="98"/>
      <c r="BA1" s="98"/>
      <c r="BB1" s="98"/>
      <c r="BD1" s="77"/>
      <c r="BE1" s="77" t="s">
        <v>21</v>
      </c>
      <c r="BF1" s="77"/>
      <c r="BG1" s="77"/>
      <c r="BH1" s="77"/>
      <c r="BI1" s="77"/>
      <c r="BJ1" s="77"/>
      <c r="BK1" s="77" t="s">
        <v>22</v>
      </c>
      <c r="BL1" s="77"/>
      <c r="BM1" s="77"/>
      <c r="BN1" s="77"/>
      <c r="BO1" s="77"/>
      <c r="BP1" s="77"/>
      <c r="BQ1" s="140" t="s">
        <v>23</v>
      </c>
      <c r="BS1" s="77" t="s">
        <v>4</v>
      </c>
      <c r="BT1" s="77" t="s">
        <v>5</v>
      </c>
      <c r="BU1" s="77" t="s">
        <v>6</v>
      </c>
      <c r="BV1" s="77" t="s">
        <v>7</v>
      </c>
      <c r="BW1" s="77" t="s">
        <v>8</v>
      </c>
      <c r="BX1" s="77" t="s">
        <v>9</v>
      </c>
      <c r="BY1" s="77" t="s">
        <v>1</v>
      </c>
      <c r="CA1" s="145" t="s">
        <v>24</v>
      </c>
      <c r="CB1" s="145" t="s">
        <v>5</v>
      </c>
      <c r="CC1" s="145" t="s">
        <v>6</v>
      </c>
      <c r="CD1" s="145" t="s">
        <v>7</v>
      </c>
      <c r="CE1" s="145" t="s">
        <v>8</v>
      </c>
      <c r="CF1" s="145" t="s">
        <v>9</v>
      </c>
      <c r="CG1" s="145" t="s">
        <v>1</v>
      </c>
      <c r="CI1" s="151" t="s">
        <v>1</v>
      </c>
      <c r="CJ1" s="152" t="s">
        <v>25</v>
      </c>
      <c r="CK1" s="152" t="s">
        <v>26</v>
      </c>
      <c r="CL1" s="152" t="s">
        <v>27</v>
      </c>
      <c r="CM1" s="152" t="s">
        <v>28</v>
      </c>
      <c r="CN1" s="152"/>
      <c r="CO1" s="152" t="s">
        <v>29</v>
      </c>
      <c r="CP1" s="152" t="s">
        <v>8</v>
      </c>
      <c r="CQ1" s="152" t="s">
        <v>9</v>
      </c>
      <c r="CR1" s="152" t="s">
        <v>1</v>
      </c>
    </row>
    <row r="2" ht="39.75" spans="1:96">
      <c r="A2" s="78"/>
      <c r="B2" s="79" t="s">
        <v>31</v>
      </c>
      <c r="C2" s="79">
        <v>147</v>
      </c>
      <c r="D2" s="79">
        <v>143</v>
      </c>
      <c r="E2" s="79">
        <v>144</v>
      </c>
      <c r="F2" s="79">
        <v>136</v>
      </c>
      <c r="G2" s="79">
        <v>133</v>
      </c>
      <c r="H2" s="79">
        <v>132</v>
      </c>
      <c r="J2" s="86" t="s">
        <v>30</v>
      </c>
      <c r="K2" s="86">
        <v>147</v>
      </c>
      <c r="L2" s="86">
        <v>143</v>
      </c>
      <c r="M2" s="86">
        <v>144</v>
      </c>
      <c r="N2" s="86">
        <v>136</v>
      </c>
      <c r="O2" s="86">
        <v>133</v>
      </c>
      <c r="P2" s="86">
        <v>132</v>
      </c>
      <c r="R2" s="91" t="s">
        <v>32</v>
      </c>
      <c r="S2" s="91">
        <v>55</v>
      </c>
      <c r="T2" s="91">
        <v>60</v>
      </c>
      <c r="U2" s="91">
        <v>60</v>
      </c>
      <c r="V2" s="91">
        <v>60</v>
      </c>
      <c r="W2" s="91">
        <v>59</v>
      </c>
      <c r="X2" s="91">
        <v>60</v>
      </c>
      <c r="Z2" s="91" t="s">
        <v>33</v>
      </c>
      <c r="AA2" s="91">
        <v>92</v>
      </c>
      <c r="AB2" s="91">
        <v>83</v>
      </c>
      <c r="AC2" s="91">
        <v>84</v>
      </c>
      <c r="AD2" s="91">
        <v>76</v>
      </c>
      <c r="AE2" s="91">
        <v>74</v>
      </c>
      <c r="AF2" s="91">
        <v>72</v>
      </c>
      <c r="AH2" s="91" t="s">
        <v>32</v>
      </c>
      <c r="AI2" s="91">
        <v>55</v>
      </c>
      <c r="AJ2" s="91">
        <v>60</v>
      </c>
      <c r="AK2" s="91">
        <v>60</v>
      </c>
      <c r="AL2" s="91">
        <v>60</v>
      </c>
      <c r="AM2" s="91">
        <v>59</v>
      </c>
      <c r="AN2" s="91">
        <v>60</v>
      </c>
      <c r="AP2" s="99" t="s">
        <v>34</v>
      </c>
      <c r="AQ2" s="100" t="s">
        <v>35</v>
      </c>
      <c r="AR2" s="100" t="s">
        <v>5</v>
      </c>
      <c r="AS2" s="100" t="s">
        <v>6</v>
      </c>
      <c r="AT2" s="100" t="s">
        <v>7</v>
      </c>
      <c r="AU2" s="100" t="s">
        <v>36</v>
      </c>
      <c r="AW2" s="115" t="s">
        <v>34</v>
      </c>
      <c r="AX2" s="116" t="s">
        <v>35</v>
      </c>
      <c r="AY2" s="116" t="s">
        <v>8</v>
      </c>
      <c r="AZ2" s="116" t="s">
        <v>9</v>
      </c>
      <c r="BA2" s="116" t="s">
        <v>1</v>
      </c>
      <c r="BB2" s="116" t="s">
        <v>36</v>
      </c>
      <c r="BD2" s="117"/>
      <c r="BE2" s="134" t="s">
        <v>5</v>
      </c>
      <c r="BF2" s="134" t="s">
        <v>6</v>
      </c>
      <c r="BG2" s="134" t="s">
        <v>7</v>
      </c>
      <c r="BH2" s="134" t="s">
        <v>8</v>
      </c>
      <c r="BI2" s="134" t="s">
        <v>9</v>
      </c>
      <c r="BJ2" s="134" t="s">
        <v>1</v>
      </c>
      <c r="BK2" s="134" t="s">
        <v>37</v>
      </c>
      <c r="BL2" s="134" t="s">
        <v>38</v>
      </c>
      <c r="BM2" s="134" t="s">
        <v>39</v>
      </c>
      <c r="BN2" s="134" t="s">
        <v>40</v>
      </c>
      <c r="BO2" s="134" t="s">
        <v>41</v>
      </c>
      <c r="BP2" s="134" t="s">
        <v>42</v>
      </c>
      <c r="BQ2" s="117"/>
      <c r="BS2" s="143" t="s">
        <v>43</v>
      </c>
      <c r="BT2" s="143">
        <v>2</v>
      </c>
      <c r="BU2" s="143">
        <v>0</v>
      </c>
      <c r="BV2" s="143">
        <v>0</v>
      </c>
      <c r="BW2" s="143">
        <v>4</v>
      </c>
      <c r="BX2" s="143">
        <v>0</v>
      </c>
      <c r="BY2" s="143">
        <v>0</v>
      </c>
      <c r="CA2" s="146" t="s">
        <v>44</v>
      </c>
      <c r="CB2" s="146">
        <v>71</v>
      </c>
      <c r="CC2" s="146">
        <v>142</v>
      </c>
      <c r="CD2" s="146">
        <v>11</v>
      </c>
      <c r="CE2" s="146">
        <v>0</v>
      </c>
      <c r="CF2" s="146">
        <v>1100</v>
      </c>
      <c r="CG2" s="146">
        <v>98</v>
      </c>
      <c r="CI2" s="153" t="s">
        <v>43</v>
      </c>
      <c r="CJ2" s="153">
        <v>8</v>
      </c>
      <c r="CK2" s="153" t="s">
        <v>45</v>
      </c>
      <c r="CL2" s="153" t="s">
        <v>46</v>
      </c>
      <c r="CM2" s="153" t="s">
        <v>47</v>
      </c>
      <c r="CN2" s="167"/>
      <c r="CO2" s="168" t="s">
        <v>43</v>
      </c>
      <c r="CP2" s="169">
        <v>4</v>
      </c>
      <c r="CQ2" s="169">
        <v>0</v>
      </c>
      <c r="CR2" s="169">
        <v>0</v>
      </c>
    </row>
    <row r="3" ht="32.25" spans="1:96">
      <c r="A3" s="78"/>
      <c r="B3" s="79" t="s">
        <v>49</v>
      </c>
      <c r="C3" s="79">
        <v>0</v>
      </c>
      <c r="D3" s="79">
        <v>0</v>
      </c>
      <c r="E3" s="79">
        <v>2</v>
      </c>
      <c r="F3" s="79">
        <v>0</v>
      </c>
      <c r="G3" s="79">
        <v>0</v>
      </c>
      <c r="H3" s="79">
        <v>0</v>
      </c>
      <c r="J3" s="80" t="s">
        <v>50</v>
      </c>
      <c r="K3" s="80">
        <v>92</v>
      </c>
      <c r="L3" s="80">
        <v>83</v>
      </c>
      <c r="M3" s="80">
        <v>84</v>
      </c>
      <c r="N3" s="80">
        <v>76</v>
      </c>
      <c r="O3" s="80">
        <v>74</v>
      </c>
      <c r="P3" s="80">
        <v>72</v>
      </c>
      <c r="R3" s="80" t="s">
        <v>51</v>
      </c>
      <c r="S3" s="80">
        <v>47</v>
      </c>
      <c r="T3" s="80">
        <v>52</v>
      </c>
      <c r="U3" s="80">
        <v>52</v>
      </c>
      <c r="V3" s="80">
        <v>51</v>
      </c>
      <c r="W3" s="80">
        <v>51</v>
      </c>
      <c r="X3" s="80">
        <v>52</v>
      </c>
      <c r="Z3" s="80" t="s">
        <v>52</v>
      </c>
      <c r="AA3" s="80">
        <v>73</v>
      </c>
      <c r="AB3" s="80">
        <v>66</v>
      </c>
      <c r="AC3" s="80">
        <v>66</v>
      </c>
      <c r="AD3" s="80">
        <v>59</v>
      </c>
      <c r="AE3" s="80">
        <v>56</v>
      </c>
      <c r="AF3" s="80">
        <v>52</v>
      </c>
      <c r="AH3" s="80" t="s">
        <v>53</v>
      </c>
      <c r="AI3" s="80">
        <v>52</v>
      </c>
      <c r="AJ3" s="80">
        <v>58</v>
      </c>
      <c r="AK3" s="80">
        <v>57</v>
      </c>
      <c r="AL3" s="80">
        <v>57</v>
      </c>
      <c r="AM3" s="80">
        <v>56</v>
      </c>
      <c r="AN3" s="80">
        <v>58</v>
      </c>
      <c r="AP3" s="101" t="s">
        <v>54</v>
      </c>
      <c r="AQ3" s="102">
        <v>11</v>
      </c>
      <c r="AR3" s="103">
        <v>11</v>
      </c>
      <c r="AS3" s="103">
        <v>11</v>
      </c>
      <c r="AT3" s="103">
        <v>11</v>
      </c>
      <c r="AU3" s="103" t="s">
        <v>55</v>
      </c>
      <c r="AW3" s="118" t="s">
        <v>54</v>
      </c>
      <c r="AX3" s="119">
        <v>11</v>
      </c>
      <c r="AY3" s="86">
        <v>11</v>
      </c>
      <c r="AZ3" s="86">
        <v>12</v>
      </c>
      <c r="BA3" s="119">
        <v>13</v>
      </c>
      <c r="BB3" s="119" t="s">
        <v>194</v>
      </c>
      <c r="BD3" s="120" t="s">
        <v>57</v>
      </c>
      <c r="BE3" s="80">
        <v>37</v>
      </c>
      <c r="BF3" s="80">
        <v>34</v>
      </c>
      <c r="BG3" s="80">
        <v>38</v>
      </c>
      <c r="BH3" s="80">
        <v>35</v>
      </c>
      <c r="BI3" s="80">
        <v>35</v>
      </c>
      <c r="BJ3" s="80">
        <v>30</v>
      </c>
      <c r="BK3" s="80" t="s">
        <v>58</v>
      </c>
      <c r="BL3" s="80" t="s">
        <v>59</v>
      </c>
      <c r="BM3" s="80" t="s">
        <v>60</v>
      </c>
      <c r="BN3" s="80" t="s">
        <v>61</v>
      </c>
      <c r="BO3" s="80" t="s">
        <v>58</v>
      </c>
      <c r="BP3" s="80" t="s">
        <v>62</v>
      </c>
      <c r="BQ3" s="80" t="s">
        <v>63</v>
      </c>
      <c r="BS3" s="143" t="s">
        <v>64</v>
      </c>
      <c r="BT3" s="143">
        <v>0</v>
      </c>
      <c r="BU3" s="143">
        <v>3</v>
      </c>
      <c r="BV3" s="143">
        <v>18</v>
      </c>
      <c r="BW3" s="143">
        <v>0</v>
      </c>
      <c r="BX3" s="143">
        <v>14</v>
      </c>
      <c r="BY3" s="143">
        <v>0</v>
      </c>
      <c r="CA3" s="146" t="s">
        <v>65</v>
      </c>
      <c r="CB3" s="146">
        <v>0</v>
      </c>
      <c r="CC3" s="146">
        <v>0</v>
      </c>
      <c r="CD3" s="146">
        <v>1</v>
      </c>
      <c r="CE3" s="146">
        <v>3</v>
      </c>
      <c r="CF3" s="146">
        <v>0</v>
      </c>
      <c r="CG3" s="146">
        <v>0</v>
      </c>
      <c r="CI3" s="153"/>
      <c r="CJ3" s="153"/>
      <c r="CK3" s="153"/>
      <c r="CL3" s="153"/>
      <c r="CM3" s="153"/>
      <c r="CN3" s="167"/>
      <c r="CO3" s="168" t="s">
        <v>64</v>
      </c>
      <c r="CP3" s="169">
        <v>0</v>
      </c>
      <c r="CQ3" s="169">
        <v>14</v>
      </c>
      <c r="CR3" s="169">
        <v>0</v>
      </c>
    </row>
    <row r="4" ht="32.25" spans="1:96">
      <c r="A4" s="78"/>
      <c r="B4" s="80" t="s">
        <v>66</v>
      </c>
      <c r="C4" s="80">
        <v>4</v>
      </c>
      <c r="D4" s="80">
        <v>1</v>
      </c>
      <c r="E4" s="80">
        <v>8</v>
      </c>
      <c r="F4" s="80">
        <v>3</v>
      </c>
      <c r="G4" s="80">
        <v>1</v>
      </c>
      <c r="H4" s="80">
        <v>6</v>
      </c>
      <c r="J4" s="80"/>
      <c r="K4" s="87" t="s">
        <v>67</v>
      </c>
      <c r="L4" s="87" t="s">
        <v>68</v>
      </c>
      <c r="M4" s="87" t="s">
        <v>68</v>
      </c>
      <c r="N4" s="87" t="s">
        <v>69</v>
      </c>
      <c r="O4" s="87" t="s">
        <v>69</v>
      </c>
      <c r="P4" s="87" t="s">
        <v>70</v>
      </c>
      <c r="R4" s="79" t="s">
        <v>71</v>
      </c>
      <c r="S4" s="79">
        <v>8</v>
      </c>
      <c r="T4" s="79">
        <v>8</v>
      </c>
      <c r="U4" s="79">
        <v>8</v>
      </c>
      <c r="V4" s="79">
        <v>9</v>
      </c>
      <c r="W4" s="79">
        <v>8</v>
      </c>
      <c r="X4" s="79">
        <v>8</v>
      </c>
      <c r="Z4" s="79" t="s">
        <v>72</v>
      </c>
      <c r="AA4" s="79">
        <v>9</v>
      </c>
      <c r="AB4" s="79">
        <v>7</v>
      </c>
      <c r="AC4" s="79">
        <v>8</v>
      </c>
      <c r="AD4" s="79">
        <v>6</v>
      </c>
      <c r="AE4" s="79">
        <v>7</v>
      </c>
      <c r="AF4" s="79">
        <v>9</v>
      </c>
      <c r="AH4" s="79" t="s">
        <v>73</v>
      </c>
      <c r="AI4" s="79">
        <v>3</v>
      </c>
      <c r="AJ4" s="79">
        <v>2</v>
      </c>
      <c r="AK4" s="79">
        <v>3</v>
      </c>
      <c r="AL4" s="79">
        <v>3</v>
      </c>
      <c r="AM4" s="79">
        <v>3</v>
      </c>
      <c r="AN4" s="79">
        <v>2</v>
      </c>
      <c r="AP4" s="104" t="s">
        <v>74</v>
      </c>
      <c r="AQ4" s="105">
        <v>1</v>
      </c>
      <c r="AR4" s="106">
        <v>1</v>
      </c>
      <c r="AS4" s="106">
        <v>1</v>
      </c>
      <c r="AT4" s="106">
        <v>1</v>
      </c>
      <c r="AU4" s="106" t="s">
        <v>55</v>
      </c>
      <c r="AW4" s="121" t="s">
        <v>74</v>
      </c>
      <c r="AX4" s="122">
        <v>1</v>
      </c>
      <c r="AY4" s="123">
        <v>2</v>
      </c>
      <c r="AZ4" s="123">
        <v>1</v>
      </c>
      <c r="BA4" s="123">
        <v>1</v>
      </c>
      <c r="BB4" s="123" t="s">
        <v>55</v>
      </c>
      <c r="BD4" s="124" t="s">
        <v>75</v>
      </c>
      <c r="BE4" s="79">
        <v>10</v>
      </c>
      <c r="BF4" s="79">
        <v>9</v>
      </c>
      <c r="BG4" s="79">
        <v>8</v>
      </c>
      <c r="BH4" s="79">
        <v>8</v>
      </c>
      <c r="BI4" s="79">
        <v>6</v>
      </c>
      <c r="BJ4" s="79">
        <v>8</v>
      </c>
      <c r="BK4" s="79" t="s">
        <v>76</v>
      </c>
      <c r="BL4" s="79" t="s">
        <v>77</v>
      </c>
      <c r="BM4" s="79" t="s">
        <v>78</v>
      </c>
      <c r="BN4" s="79" t="s">
        <v>79</v>
      </c>
      <c r="BO4" s="79" t="s">
        <v>80</v>
      </c>
      <c r="BP4" s="79" t="s">
        <v>81</v>
      </c>
      <c r="BQ4" s="79" t="s">
        <v>82</v>
      </c>
      <c r="BS4" s="144" t="s">
        <v>83</v>
      </c>
      <c r="BT4" s="144">
        <v>35</v>
      </c>
      <c r="BU4" s="144">
        <v>7</v>
      </c>
      <c r="BV4" s="144">
        <v>16</v>
      </c>
      <c r="BW4" s="144">
        <v>8</v>
      </c>
      <c r="BX4" s="144">
        <v>44</v>
      </c>
      <c r="BY4" s="144">
        <v>12</v>
      </c>
      <c r="CA4" s="146" t="s">
        <v>84</v>
      </c>
      <c r="CB4" s="146">
        <v>1</v>
      </c>
      <c r="CC4" s="146">
        <v>374</v>
      </c>
      <c r="CD4" s="146">
        <v>174</v>
      </c>
      <c r="CE4" s="146">
        <v>12</v>
      </c>
      <c r="CF4" s="146">
        <v>387</v>
      </c>
      <c r="CG4" s="146">
        <v>45</v>
      </c>
      <c r="CI4" s="154" t="s">
        <v>83</v>
      </c>
      <c r="CJ4" s="154">
        <v>30</v>
      </c>
      <c r="CK4" s="154" t="s">
        <v>85</v>
      </c>
      <c r="CL4" s="154" t="s">
        <v>46</v>
      </c>
      <c r="CM4" s="154" t="s">
        <v>86</v>
      </c>
      <c r="CN4" s="152"/>
      <c r="CO4" s="170" t="s">
        <v>83</v>
      </c>
      <c r="CP4" s="171">
        <v>8</v>
      </c>
      <c r="CQ4" s="171">
        <v>44</v>
      </c>
      <c r="CR4" s="171">
        <v>12</v>
      </c>
    </row>
    <row r="5" ht="48" spans="1:96">
      <c r="A5" s="78"/>
      <c r="J5" s="79" t="s">
        <v>87</v>
      </c>
      <c r="K5" s="79">
        <v>55</v>
      </c>
      <c r="L5" s="79">
        <v>60</v>
      </c>
      <c r="M5" s="79">
        <v>60</v>
      </c>
      <c r="N5" s="79">
        <v>60</v>
      </c>
      <c r="O5" s="79">
        <v>59</v>
      </c>
      <c r="P5" s="79">
        <v>60</v>
      </c>
      <c r="Z5" s="79" t="s">
        <v>88</v>
      </c>
      <c r="AA5" s="80">
        <v>5</v>
      </c>
      <c r="AB5" s="80">
        <v>5</v>
      </c>
      <c r="AC5" s="80">
        <v>5</v>
      </c>
      <c r="AD5" s="80">
        <v>6</v>
      </c>
      <c r="AE5" s="80">
        <v>6</v>
      </c>
      <c r="AF5" s="80">
        <v>6</v>
      </c>
      <c r="AH5" s="80" t="s">
        <v>89</v>
      </c>
      <c r="AI5" s="94" t="s">
        <v>90</v>
      </c>
      <c r="AJ5" s="94"/>
      <c r="AK5" s="94"/>
      <c r="AL5" s="94"/>
      <c r="AM5" s="94"/>
      <c r="AN5" s="94" t="s">
        <v>91</v>
      </c>
      <c r="AP5" s="101" t="s">
        <v>92</v>
      </c>
      <c r="AQ5" s="102">
        <v>2</v>
      </c>
      <c r="AR5" s="103">
        <v>3</v>
      </c>
      <c r="AS5" s="103">
        <v>2</v>
      </c>
      <c r="AT5" s="103">
        <v>2</v>
      </c>
      <c r="AU5" s="103" t="s">
        <v>55</v>
      </c>
      <c r="AW5" s="118" t="s">
        <v>92</v>
      </c>
      <c r="AX5" s="119">
        <v>2</v>
      </c>
      <c r="AY5" s="86">
        <v>2</v>
      </c>
      <c r="AZ5" s="86">
        <v>2</v>
      </c>
      <c r="BA5" s="86">
        <v>2</v>
      </c>
      <c r="BB5" s="86" t="s">
        <v>55</v>
      </c>
      <c r="BD5" s="120" t="s">
        <v>93</v>
      </c>
      <c r="BE5" s="80">
        <v>13</v>
      </c>
      <c r="BF5" s="80">
        <v>12</v>
      </c>
      <c r="BG5" s="80">
        <v>11</v>
      </c>
      <c r="BH5" s="80">
        <v>11</v>
      </c>
      <c r="BI5" s="80">
        <v>10</v>
      </c>
      <c r="BJ5" s="80">
        <v>8</v>
      </c>
      <c r="BK5" s="80" t="s">
        <v>94</v>
      </c>
      <c r="BL5" s="80" t="s">
        <v>95</v>
      </c>
      <c r="BM5" s="80" t="s">
        <v>96</v>
      </c>
      <c r="BN5" s="80" t="s">
        <v>97</v>
      </c>
      <c r="BO5" s="80" t="s">
        <v>98</v>
      </c>
      <c r="BP5" s="80" t="s">
        <v>99</v>
      </c>
      <c r="BQ5" s="80" t="s">
        <v>82</v>
      </c>
      <c r="BS5" s="144" t="s">
        <v>100</v>
      </c>
      <c r="BT5" s="144">
        <v>0</v>
      </c>
      <c r="BU5" s="144">
        <v>0</v>
      </c>
      <c r="BV5" s="144">
        <v>2</v>
      </c>
      <c r="BW5" s="144">
        <v>1</v>
      </c>
      <c r="BX5" s="144">
        <v>0</v>
      </c>
      <c r="BY5" s="144">
        <v>0</v>
      </c>
      <c r="CA5" s="146" t="s">
        <v>101</v>
      </c>
      <c r="CB5" s="146">
        <v>0</v>
      </c>
      <c r="CC5" s="146">
        <v>0</v>
      </c>
      <c r="CD5" s="146">
        <v>0</v>
      </c>
      <c r="CE5" s="146">
        <v>0</v>
      </c>
      <c r="CF5" s="146">
        <v>0</v>
      </c>
      <c r="CG5" s="146">
        <v>0</v>
      </c>
      <c r="CI5" s="154"/>
      <c r="CJ5" s="154"/>
      <c r="CK5" s="154"/>
      <c r="CL5" s="154"/>
      <c r="CM5" s="154"/>
      <c r="CN5" s="167"/>
      <c r="CO5" s="172" t="s">
        <v>100</v>
      </c>
      <c r="CP5" s="171">
        <v>1</v>
      </c>
      <c r="CQ5" s="171">
        <v>0</v>
      </c>
      <c r="CR5" s="171">
        <v>0</v>
      </c>
    </row>
    <row r="6" ht="18" spans="1:96">
      <c r="A6" s="78"/>
      <c r="J6" s="79"/>
      <c r="K6" s="88" t="s">
        <v>103</v>
      </c>
      <c r="L6" s="88" t="s">
        <v>104</v>
      </c>
      <c r="M6" s="88" t="s">
        <v>104</v>
      </c>
      <c r="N6" s="88" t="s">
        <v>105</v>
      </c>
      <c r="O6" s="88" t="s">
        <v>105</v>
      </c>
      <c r="P6" s="88" t="s">
        <v>106</v>
      </c>
      <c r="Z6" s="79" t="s">
        <v>107</v>
      </c>
      <c r="AA6" s="79">
        <v>5</v>
      </c>
      <c r="AB6" s="79">
        <v>5</v>
      </c>
      <c r="AC6" s="79">
        <v>5</v>
      </c>
      <c r="AD6" s="79">
        <v>5</v>
      </c>
      <c r="AE6" s="79">
        <v>5</v>
      </c>
      <c r="AF6" s="79">
        <v>5</v>
      </c>
      <c r="AP6" s="104" t="s">
        <v>108</v>
      </c>
      <c r="AQ6" s="105">
        <v>4</v>
      </c>
      <c r="AR6" s="106">
        <v>3</v>
      </c>
      <c r="AS6" s="106">
        <v>5</v>
      </c>
      <c r="AT6" s="106">
        <v>4</v>
      </c>
      <c r="AU6" s="106" t="s">
        <v>109</v>
      </c>
      <c r="AW6" s="121" t="s">
        <v>108</v>
      </c>
      <c r="AX6" s="122">
        <v>4</v>
      </c>
      <c r="AY6" s="123">
        <v>4</v>
      </c>
      <c r="AZ6" s="123">
        <v>4</v>
      </c>
      <c r="BA6" s="123">
        <v>4</v>
      </c>
      <c r="BB6" s="123" t="s">
        <v>55</v>
      </c>
      <c r="BD6" s="124" t="s">
        <v>110</v>
      </c>
      <c r="BE6" s="79">
        <v>3</v>
      </c>
      <c r="BF6" s="79">
        <v>3</v>
      </c>
      <c r="BG6" s="79">
        <v>3</v>
      </c>
      <c r="BH6" s="79">
        <v>3</v>
      </c>
      <c r="BI6" s="79">
        <v>3</v>
      </c>
      <c r="BJ6" s="79">
        <v>4</v>
      </c>
      <c r="BK6" s="79" t="s">
        <v>111</v>
      </c>
      <c r="BL6" s="79" t="s">
        <v>112</v>
      </c>
      <c r="BM6" s="79" t="s">
        <v>113</v>
      </c>
      <c r="BN6" s="79" t="s">
        <v>61</v>
      </c>
      <c r="BO6" s="79" t="s">
        <v>81</v>
      </c>
      <c r="BP6" s="79" t="s">
        <v>94</v>
      </c>
      <c r="BQ6" s="79" t="s">
        <v>63</v>
      </c>
      <c r="BS6" s="144" t="s">
        <v>114</v>
      </c>
      <c r="BT6" s="144">
        <v>3</v>
      </c>
      <c r="BU6" s="144">
        <v>24</v>
      </c>
      <c r="BV6" s="144">
        <v>1</v>
      </c>
      <c r="BW6" s="144">
        <v>7</v>
      </c>
      <c r="BX6" s="144">
        <v>3</v>
      </c>
      <c r="BY6" s="144">
        <v>0</v>
      </c>
      <c r="CA6" s="146" t="s">
        <v>115</v>
      </c>
      <c r="CB6" s="146">
        <v>0</v>
      </c>
      <c r="CC6" s="146">
        <v>6</v>
      </c>
      <c r="CD6" s="146">
        <v>1</v>
      </c>
      <c r="CE6" s="146">
        <v>0</v>
      </c>
      <c r="CF6" s="146">
        <v>0</v>
      </c>
      <c r="CG6" s="146">
        <v>0</v>
      </c>
      <c r="CI6" s="154"/>
      <c r="CJ6" s="154"/>
      <c r="CK6" s="154"/>
      <c r="CL6" s="154"/>
      <c r="CM6" s="154"/>
      <c r="CN6" s="167"/>
      <c r="CO6" s="172" t="s">
        <v>114</v>
      </c>
      <c r="CP6" s="171">
        <v>7</v>
      </c>
      <c r="CQ6" s="171">
        <v>3</v>
      </c>
      <c r="CR6" s="173">
        <v>0</v>
      </c>
    </row>
    <row r="7" ht="17.25" spans="1:96">
      <c r="A7" s="78"/>
      <c r="AP7" s="101" t="s">
        <v>116</v>
      </c>
      <c r="AQ7" s="102">
        <v>1</v>
      </c>
      <c r="AR7" s="103">
        <v>0</v>
      </c>
      <c r="AS7" s="103">
        <v>1</v>
      </c>
      <c r="AT7" s="103">
        <v>2</v>
      </c>
      <c r="AU7" s="103" t="s">
        <v>117</v>
      </c>
      <c r="AW7" s="118" t="s">
        <v>116</v>
      </c>
      <c r="AX7" s="119">
        <v>1</v>
      </c>
      <c r="AY7" s="86">
        <v>2</v>
      </c>
      <c r="AZ7" s="86">
        <v>1</v>
      </c>
      <c r="BA7" s="86">
        <v>1</v>
      </c>
      <c r="BB7" s="86" t="s">
        <v>56</v>
      </c>
      <c r="BD7" s="120" t="s">
        <v>101</v>
      </c>
      <c r="BE7" s="80">
        <v>3</v>
      </c>
      <c r="BF7" s="80">
        <v>3</v>
      </c>
      <c r="BG7" s="80">
        <v>2</v>
      </c>
      <c r="BH7" s="80">
        <v>1</v>
      </c>
      <c r="BI7" s="80">
        <v>1</v>
      </c>
      <c r="BJ7" s="80">
        <v>1</v>
      </c>
      <c r="BK7" s="80" t="s">
        <v>118</v>
      </c>
      <c r="BL7" s="80" t="s">
        <v>119</v>
      </c>
      <c r="BM7" s="80" t="s">
        <v>120</v>
      </c>
      <c r="BN7" s="80" t="s">
        <v>121</v>
      </c>
      <c r="BO7" s="80" t="s">
        <v>122</v>
      </c>
      <c r="BP7" s="80" t="s">
        <v>123</v>
      </c>
      <c r="BQ7" s="80" t="s">
        <v>124</v>
      </c>
      <c r="BS7" s="143" t="s">
        <v>110</v>
      </c>
      <c r="BT7" s="143">
        <v>0</v>
      </c>
      <c r="BU7" s="143">
        <v>0</v>
      </c>
      <c r="BV7" s="143">
        <v>0</v>
      </c>
      <c r="BW7" s="143">
        <v>1</v>
      </c>
      <c r="BX7" s="143">
        <v>0</v>
      </c>
      <c r="BY7" s="143">
        <v>0</v>
      </c>
      <c r="CA7" s="147" t="s">
        <v>195</v>
      </c>
      <c r="CB7" s="147">
        <v>3</v>
      </c>
      <c r="CC7" s="147">
        <v>3</v>
      </c>
      <c r="CD7" s="147">
        <v>3</v>
      </c>
      <c r="CE7" s="147">
        <v>4</v>
      </c>
      <c r="CF7" s="147"/>
      <c r="CG7" s="147"/>
      <c r="CI7" s="153" t="s">
        <v>93</v>
      </c>
      <c r="CJ7" s="153">
        <v>8</v>
      </c>
      <c r="CK7" s="153" t="s">
        <v>45</v>
      </c>
      <c r="CL7" s="153" t="s">
        <v>126</v>
      </c>
      <c r="CM7" s="153" t="s">
        <v>127</v>
      </c>
      <c r="CN7" s="152"/>
      <c r="CO7" s="174" t="s">
        <v>44</v>
      </c>
      <c r="CP7" s="169">
        <v>0</v>
      </c>
      <c r="CQ7" s="169">
        <v>1100</v>
      </c>
      <c r="CR7" s="169">
        <v>98</v>
      </c>
    </row>
    <row r="8" ht="34.5" spans="1:96">
      <c r="A8" s="78"/>
      <c r="J8" s="85"/>
      <c r="K8" s="85" t="s">
        <v>5</v>
      </c>
      <c r="L8" s="85" t="s">
        <v>6</v>
      </c>
      <c r="M8" s="85" t="s">
        <v>7</v>
      </c>
      <c r="N8" s="85" t="s">
        <v>8</v>
      </c>
      <c r="O8" s="85" t="s">
        <v>9</v>
      </c>
      <c r="P8" s="85" t="s">
        <v>1</v>
      </c>
      <c r="AP8" s="104" t="s">
        <v>128</v>
      </c>
      <c r="AQ8" s="105">
        <v>1</v>
      </c>
      <c r="AR8" s="106">
        <v>1</v>
      </c>
      <c r="AS8" s="106">
        <v>0</v>
      </c>
      <c r="AT8" s="106">
        <v>1</v>
      </c>
      <c r="AU8" s="107" t="s">
        <v>129</v>
      </c>
      <c r="AW8" s="121" t="s">
        <v>128</v>
      </c>
      <c r="AX8" s="122">
        <v>1</v>
      </c>
      <c r="AY8" s="123">
        <v>1</v>
      </c>
      <c r="AZ8" s="123">
        <v>1</v>
      </c>
      <c r="BA8" s="123">
        <v>1</v>
      </c>
      <c r="BB8" s="125" t="s">
        <v>130</v>
      </c>
      <c r="BD8" s="124" t="s">
        <v>131</v>
      </c>
      <c r="BE8" s="79">
        <v>5</v>
      </c>
      <c r="BF8" s="79">
        <v>2</v>
      </c>
      <c r="BG8" s="79">
        <v>1</v>
      </c>
      <c r="BH8" s="79">
        <v>1</v>
      </c>
      <c r="BI8" s="79">
        <v>1</v>
      </c>
      <c r="BJ8" s="79">
        <v>1</v>
      </c>
      <c r="BK8" s="79" t="s">
        <v>132</v>
      </c>
      <c r="BL8" s="79"/>
      <c r="BM8" s="79"/>
      <c r="BN8" s="79" t="s">
        <v>133</v>
      </c>
      <c r="BO8" s="79" t="s">
        <v>134</v>
      </c>
      <c r="BP8" s="79" t="s">
        <v>123</v>
      </c>
      <c r="BQ8" s="142">
        <v>0.01</v>
      </c>
      <c r="CA8" s="148" t="s">
        <v>196</v>
      </c>
      <c r="CB8" s="148"/>
      <c r="CC8" s="148"/>
      <c r="CD8" s="148"/>
      <c r="CE8" s="148"/>
      <c r="CF8" s="148"/>
      <c r="CG8" s="148"/>
      <c r="CI8" s="153"/>
      <c r="CJ8" s="153"/>
      <c r="CK8" s="153"/>
      <c r="CL8" s="153"/>
      <c r="CM8" s="153"/>
      <c r="CN8" s="167"/>
      <c r="CO8" s="174" t="s">
        <v>65</v>
      </c>
      <c r="CP8" s="169">
        <v>3</v>
      </c>
      <c r="CQ8" s="169">
        <v>0</v>
      </c>
      <c r="CR8" s="169">
        <v>0</v>
      </c>
    </row>
    <row r="9" ht="35.25" spans="1:96">
      <c r="A9" s="78"/>
      <c r="J9" s="89" t="s">
        <v>87</v>
      </c>
      <c r="K9" s="79">
        <v>55</v>
      </c>
      <c r="L9" s="79">
        <v>60</v>
      </c>
      <c r="M9" s="79">
        <v>60</v>
      </c>
      <c r="N9" s="79">
        <v>60</v>
      </c>
      <c r="O9" s="79">
        <v>59</v>
      </c>
      <c r="P9" s="79">
        <v>60</v>
      </c>
      <c r="AP9" s="101" t="s">
        <v>135</v>
      </c>
      <c r="AQ9" s="102">
        <v>1</v>
      </c>
      <c r="AR9" s="103">
        <v>2</v>
      </c>
      <c r="AS9" s="103">
        <v>2</v>
      </c>
      <c r="AT9" s="103">
        <v>2</v>
      </c>
      <c r="AU9" s="108" t="s">
        <v>129</v>
      </c>
      <c r="AW9" s="118" t="s">
        <v>135</v>
      </c>
      <c r="AX9" s="119">
        <v>1</v>
      </c>
      <c r="AY9" s="86">
        <v>2</v>
      </c>
      <c r="AZ9" s="86">
        <v>2</v>
      </c>
      <c r="BA9" s="119">
        <v>2</v>
      </c>
      <c r="BB9" s="119" t="s">
        <v>129</v>
      </c>
      <c r="CA9" s="149" t="s">
        <v>147</v>
      </c>
      <c r="CB9" s="149"/>
      <c r="CC9" s="149"/>
      <c r="CD9" s="149"/>
      <c r="CE9" s="149"/>
      <c r="CF9" s="149"/>
      <c r="CG9" s="149"/>
      <c r="CI9" s="153"/>
      <c r="CJ9" s="153"/>
      <c r="CK9" s="153"/>
      <c r="CL9" s="153"/>
      <c r="CM9" s="153"/>
      <c r="CN9" s="152"/>
      <c r="CO9" s="174" t="s">
        <v>84</v>
      </c>
      <c r="CP9" s="169">
        <v>12</v>
      </c>
      <c r="CQ9" s="169">
        <v>387</v>
      </c>
      <c r="CR9" s="169">
        <v>45</v>
      </c>
    </row>
    <row r="10" ht="34.5" spans="1:96">
      <c r="A10" s="78"/>
      <c r="J10" s="90" t="s">
        <v>50</v>
      </c>
      <c r="K10" s="80">
        <v>92</v>
      </c>
      <c r="L10" s="80">
        <v>83</v>
      </c>
      <c r="M10" s="80">
        <v>84</v>
      </c>
      <c r="N10" s="80">
        <v>76</v>
      </c>
      <c r="O10" s="80">
        <v>74</v>
      </c>
      <c r="P10" s="80">
        <v>72</v>
      </c>
      <c r="AP10" s="104" t="s">
        <v>137</v>
      </c>
      <c r="AQ10" s="105">
        <v>1</v>
      </c>
      <c r="AR10" s="106">
        <v>2</v>
      </c>
      <c r="AS10" s="106">
        <v>2</v>
      </c>
      <c r="AT10" s="106">
        <v>2</v>
      </c>
      <c r="AU10" s="107" t="s">
        <v>129</v>
      </c>
      <c r="AW10" s="121" t="s">
        <v>137</v>
      </c>
      <c r="AX10" s="122">
        <v>1</v>
      </c>
      <c r="AY10" s="123">
        <v>2</v>
      </c>
      <c r="AZ10" s="123">
        <v>2</v>
      </c>
      <c r="BA10" s="122">
        <v>2</v>
      </c>
      <c r="BB10" s="122" t="s">
        <v>129</v>
      </c>
      <c r="BD10" s="126"/>
      <c r="BE10" s="134" t="s">
        <v>5</v>
      </c>
      <c r="BF10" s="134" t="s">
        <v>6</v>
      </c>
      <c r="BG10" s="134" t="s">
        <v>7</v>
      </c>
      <c r="BH10" s="134" t="s">
        <v>8</v>
      </c>
      <c r="BI10" s="134" t="s">
        <v>9</v>
      </c>
      <c r="BJ10" s="134" t="s">
        <v>1</v>
      </c>
      <c r="CI10" s="153"/>
      <c r="CJ10" s="153"/>
      <c r="CK10" s="153"/>
      <c r="CL10" s="153"/>
      <c r="CM10" s="153"/>
      <c r="CN10" s="167"/>
      <c r="CO10" s="174" t="s">
        <v>101</v>
      </c>
      <c r="CP10" s="169">
        <v>0</v>
      </c>
      <c r="CQ10" s="169">
        <v>0</v>
      </c>
      <c r="CR10" s="169">
        <v>0</v>
      </c>
    </row>
    <row r="11" ht="17.25" spans="1:96">
      <c r="A11" s="78"/>
      <c r="J11" s="86" t="s">
        <v>30</v>
      </c>
      <c r="K11" s="86">
        <v>147</v>
      </c>
      <c r="L11" s="86">
        <v>143</v>
      </c>
      <c r="M11" s="86">
        <v>144</v>
      </c>
      <c r="N11" s="86">
        <v>136</v>
      </c>
      <c r="O11" s="86">
        <v>133</v>
      </c>
      <c r="P11" s="86">
        <v>132</v>
      </c>
      <c r="AP11" s="101" t="s">
        <v>140</v>
      </c>
      <c r="AQ11" s="102">
        <v>2</v>
      </c>
      <c r="AR11" s="103">
        <v>0</v>
      </c>
      <c r="AS11" s="103">
        <v>0</v>
      </c>
      <c r="AT11" s="103">
        <v>2</v>
      </c>
      <c r="AU11" s="109" t="s">
        <v>141</v>
      </c>
      <c r="AW11" s="118" t="s">
        <v>140</v>
      </c>
      <c r="AX11" s="119">
        <v>2</v>
      </c>
      <c r="AY11" s="86">
        <v>2</v>
      </c>
      <c r="AZ11" s="86">
        <v>2</v>
      </c>
      <c r="BA11" s="86">
        <v>2</v>
      </c>
      <c r="BB11" s="127" t="s">
        <v>141</v>
      </c>
      <c r="BD11" s="120" t="s">
        <v>142</v>
      </c>
      <c r="BE11" s="80">
        <v>37</v>
      </c>
      <c r="BF11" s="80">
        <v>34</v>
      </c>
      <c r="BG11" s="80">
        <v>38</v>
      </c>
      <c r="BH11" s="80">
        <v>35</v>
      </c>
      <c r="BI11" s="80">
        <v>35</v>
      </c>
      <c r="BJ11" s="80">
        <v>30</v>
      </c>
      <c r="CI11" s="153"/>
      <c r="CJ11" s="153"/>
      <c r="CK11" s="153"/>
      <c r="CL11" s="153"/>
      <c r="CM11" s="153"/>
      <c r="CN11" s="152"/>
      <c r="CO11" s="175" t="s">
        <v>115</v>
      </c>
      <c r="CP11" s="169">
        <v>0</v>
      </c>
      <c r="CQ11" s="169">
        <v>0</v>
      </c>
      <c r="CR11" s="169">
        <v>0</v>
      </c>
    </row>
    <row r="12" ht="17.25" spans="1:62">
      <c r="A12" s="78"/>
      <c r="AP12" s="104" t="s">
        <v>145</v>
      </c>
      <c r="AQ12" s="105">
        <v>1</v>
      </c>
      <c r="AR12" s="106">
        <v>0</v>
      </c>
      <c r="AS12" s="106">
        <v>0</v>
      </c>
      <c r="AT12" s="106">
        <v>1</v>
      </c>
      <c r="AU12" s="110" t="s">
        <v>141</v>
      </c>
      <c r="AW12" s="121" t="s">
        <v>145</v>
      </c>
      <c r="AX12" s="122">
        <v>1</v>
      </c>
      <c r="AY12" s="123">
        <v>1</v>
      </c>
      <c r="AZ12" s="123">
        <v>1</v>
      </c>
      <c r="BA12" s="123">
        <v>1</v>
      </c>
      <c r="BB12" s="128" t="s">
        <v>141</v>
      </c>
      <c r="BD12" s="120" t="s">
        <v>146</v>
      </c>
      <c r="BE12" s="80">
        <v>52</v>
      </c>
      <c r="BF12" s="80">
        <v>57</v>
      </c>
      <c r="BG12" s="80">
        <v>65</v>
      </c>
      <c r="BH12" s="80">
        <v>45</v>
      </c>
      <c r="BI12" s="80">
        <v>52</v>
      </c>
      <c r="BJ12" s="80">
        <v>71</v>
      </c>
    </row>
    <row r="13" ht="17.25" spans="1:62">
      <c r="A13" s="78"/>
      <c r="AP13" s="101" t="s">
        <v>148</v>
      </c>
      <c r="AQ13" s="102">
        <v>8</v>
      </c>
      <c r="AR13" s="103">
        <v>8</v>
      </c>
      <c r="AS13" s="103">
        <v>8</v>
      </c>
      <c r="AT13" s="103">
        <v>8</v>
      </c>
      <c r="AU13" s="103" t="s">
        <v>55</v>
      </c>
      <c r="AW13" s="118" t="s">
        <v>148</v>
      </c>
      <c r="AX13" s="119">
        <v>8</v>
      </c>
      <c r="AY13" s="86">
        <v>8</v>
      </c>
      <c r="AZ13" s="86">
        <v>8</v>
      </c>
      <c r="BA13" s="119">
        <v>9</v>
      </c>
      <c r="BB13" s="119" t="s">
        <v>56</v>
      </c>
      <c r="BD13" s="124" t="s">
        <v>149</v>
      </c>
      <c r="BE13" s="79">
        <v>10</v>
      </c>
      <c r="BF13" s="79">
        <v>9</v>
      </c>
      <c r="BG13" s="79">
        <v>8</v>
      </c>
      <c r="BH13" s="79">
        <v>8</v>
      </c>
      <c r="BI13" s="79">
        <v>6</v>
      </c>
      <c r="BJ13" s="79">
        <v>8</v>
      </c>
    </row>
    <row r="14" ht="17.25" spans="1:62">
      <c r="A14" s="78"/>
      <c r="AP14" s="104" t="s">
        <v>150</v>
      </c>
      <c r="AQ14" s="105">
        <v>8</v>
      </c>
      <c r="AR14" s="106">
        <v>5</v>
      </c>
      <c r="AS14" s="106">
        <v>8</v>
      </c>
      <c r="AT14" s="106">
        <v>8</v>
      </c>
      <c r="AU14" s="106" t="s">
        <v>151</v>
      </c>
      <c r="AW14" s="121" t="s">
        <v>150</v>
      </c>
      <c r="AX14" s="122">
        <v>8</v>
      </c>
      <c r="AY14" s="123">
        <v>8</v>
      </c>
      <c r="AZ14" s="123">
        <v>8</v>
      </c>
      <c r="BA14" s="123">
        <v>8</v>
      </c>
      <c r="BB14" s="123" t="s">
        <v>152</v>
      </c>
      <c r="BD14" s="124" t="s">
        <v>153</v>
      </c>
      <c r="BE14" s="79">
        <v>48</v>
      </c>
      <c r="BF14" s="79">
        <v>49</v>
      </c>
      <c r="BG14" s="79">
        <v>26</v>
      </c>
      <c r="BH14" s="79">
        <v>17</v>
      </c>
      <c r="BI14" s="79">
        <v>47</v>
      </c>
      <c r="BJ14" s="79">
        <v>73</v>
      </c>
    </row>
    <row r="15" ht="45" customHeight="1" spans="42:62">
      <c r="AP15" s="101" t="s">
        <v>155</v>
      </c>
      <c r="AQ15" s="102">
        <v>3</v>
      </c>
      <c r="AR15" s="103">
        <v>3</v>
      </c>
      <c r="AS15" s="103">
        <v>4</v>
      </c>
      <c r="AT15" s="103">
        <v>4</v>
      </c>
      <c r="AU15" s="103" t="s">
        <v>156</v>
      </c>
      <c r="AW15" s="118" t="s">
        <v>155</v>
      </c>
      <c r="AX15" s="119">
        <v>3</v>
      </c>
      <c r="AY15" s="86">
        <v>3</v>
      </c>
      <c r="AZ15" s="86">
        <v>3</v>
      </c>
      <c r="BA15" s="86">
        <v>3</v>
      </c>
      <c r="BB15" s="86" t="s">
        <v>55</v>
      </c>
      <c r="BD15" s="120" t="s">
        <v>157</v>
      </c>
      <c r="BE15" s="80">
        <v>13</v>
      </c>
      <c r="BF15" s="80">
        <v>12</v>
      </c>
      <c r="BG15" s="80">
        <v>11</v>
      </c>
      <c r="BH15" s="80">
        <v>11</v>
      </c>
      <c r="BI15" s="80">
        <v>10</v>
      </c>
      <c r="BJ15" s="80">
        <v>8</v>
      </c>
    </row>
    <row r="16" ht="34.5" spans="42:62">
      <c r="AP16" s="104" t="s">
        <v>158</v>
      </c>
      <c r="AQ16" s="105">
        <v>1</v>
      </c>
      <c r="AR16" s="106">
        <v>1</v>
      </c>
      <c r="AS16" s="106">
        <v>1</v>
      </c>
      <c r="AT16" s="106">
        <v>1</v>
      </c>
      <c r="AU16" s="106" t="s">
        <v>55</v>
      </c>
      <c r="AW16" s="121" t="s">
        <v>158</v>
      </c>
      <c r="AX16" s="122">
        <v>1</v>
      </c>
      <c r="AY16" s="123">
        <v>1</v>
      </c>
      <c r="AZ16" s="123">
        <v>1</v>
      </c>
      <c r="BA16" s="122">
        <v>0</v>
      </c>
      <c r="BB16" s="123" t="s">
        <v>159</v>
      </c>
      <c r="BD16" s="129" t="s">
        <v>160</v>
      </c>
      <c r="BE16" s="135">
        <v>50</v>
      </c>
      <c r="BF16" s="135">
        <v>67</v>
      </c>
      <c r="BG16" s="135">
        <v>61</v>
      </c>
      <c r="BH16" s="135">
        <v>37</v>
      </c>
      <c r="BI16" s="135">
        <v>40</v>
      </c>
      <c r="BJ16" s="135">
        <v>66</v>
      </c>
    </row>
    <row r="17" ht="17.25" spans="42:54">
      <c r="AP17" s="101" t="s">
        <v>161</v>
      </c>
      <c r="AQ17" s="102">
        <v>7</v>
      </c>
      <c r="AR17" s="103">
        <v>10</v>
      </c>
      <c r="AS17" s="103">
        <v>10</v>
      </c>
      <c r="AT17" s="103">
        <v>11</v>
      </c>
      <c r="AU17" s="103" t="s">
        <v>162</v>
      </c>
      <c r="AW17" s="118" t="s">
        <v>161</v>
      </c>
      <c r="AX17" s="119">
        <v>7</v>
      </c>
      <c r="AY17" s="86">
        <v>11</v>
      </c>
      <c r="AZ17" s="86">
        <v>11</v>
      </c>
      <c r="BA17" s="119">
        <v>11</v>
      </c>
      <c r="BB17" s="119" t="s">
        <v>197</v>
      </c>
    </row>
    <row r="18" ht="17.25" spans="42:54">
      <c r="AP18" s="104" t="s">
        <v>164</v>
      </c>
      <c r="AQ18" s="105">
        <v>5</v>
      </c>
      <c r="AR18" s="106">
        <v>5</v>
      </c>
      <c r="AS18" s="106">
        <v>5</v>
      </c>
      <c r="AT18" s="106">
        <v>0</v>
      </c>
      <c r="AU18" s="111" t="s">
        <v>165</v>
      </c>
      <c r="AW18" s="130" t="s">
        <v>166</v>
      </c>
      <c r="AX18" s="122">
        <v>53</v>
      </c>
      <c r="AY18" s="122">
        <v>60</v>
      </c>
      <c r="AZ18" s="122">
        <v>59</v>
      </c>
      <c r="BA18" s="122">
        <v>60</v>
      </c>
      <c r="BB18" s="131"/>
    </row>
    <row r="19" ht="21" spans="42:62">
      <c r="AP19" s="112" t="s">
        <v>166</v>
      </c>
      <c r="AQ19" s="102">
        <v>57</v>
      </c>
      <c r="AR19" s="102">
        <v>55</v>
      </c>
      <c r="AS19" s="102">
        <v>60</v>
      </c>
      <c r="AT19" s="102">
        <v>60</v>
      </c>
      <c r="AU19" s="113"/>
      <c r="AX19" s="114">
        <f>SUM(AX3:AX17)</f>
        <v>52</v>
      </c>
      <c r="AY19" s="114">
        <f>SUM(AY3:AY17)</f>
        <v>60</v>
      </c>
      <c r="AZ19" s="114">
        <f>SUM(AZ3:AZ17)</f>
        <v>59</v>
      </c>
      <c r="BA19" s="114">
        <f>SUM(BA3:BA17)</f>
        <v>60</v>
      </c>
      <c r="BD19" s="132"/>
      <c r="BE19" s="136"/>
      <c r="BF19" s="136"/>
      <c r="BG19" s="136"/>
      <c r="BH19" s="136"/>
      <c r="BI19" s="136"/>
      <c r="BJ19" s="136"/>
    </row>
    <row r="20" ht="45" customHeight="1" spans="43:68">
      <c r="AQ20" s="114">
        <f>SUM(AQ3:AQ18)</f>
        <v>57</v>
      </c>
      <c r="BD20" s="132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</row>
    <row r="21" ht="37.5" spans="1:96">
      <c r="A21" s="81" t="s">
        <v>198</v>
      </c>
      <c r="B21" s="82"/>
      <c r="C21" s="82" t="s">
        <v>199</v>
      </c>
      <c r="D21" s="82" t="s">
        <v>200</v>
      </c>
      <c r="E21" s="82" t="s">
        <v>201</v>
      </c>
      <c r="J21" s="82"/>
      <c r="K21" s="82" t="s">
        <v>199</v>
      </c>
      <c r="L21" s="82" t="s">
        <v>200</v>
      </c>
      <c r="M21" s="82" t="s">
        <v>201</v>
      </c>
      <c r="R21" s="77" t="s">
        <v>18</v>
      </c>
      <c r="S21" s="82" t="s">
        <v>199</v>
      </c>
      <c r="T21" s="82" t="s">
        <v>200</v>
      </c>
      <c r="U21" s="82" t="s">
        <v>201</v>
      </c>
      <c r="Z21" s="77" t="s">
        <v>18</v>
      </c>
      <c r="AA21" s="82" t="s">
        <v>199</v>
      </c>
      <c r="AB21" s="82" t="s">
        <v>200</v>
      </c>
      <c r="AC21" s="82" t="s">
        <v>201</v>
      </c>
      <c r="AH21" s="77" t="s">
        <v>18</v>
      </c>
      <c r="AI21" s="82" t="s">
        <v>199</v>
      </c>
      <c r="AJ21" s="82" t="s">
        <v>200</v>
      </c>
      <c r="AK21" s="82" t="s">
        <v>201</v>
      </c>
      <c r="AW21" s="98" t="s">
        <v>198</v>
      </c>
      <c r="AX21" s="98"/>
      <c r="AY21" s="98"/>
      <c r="AZ21" s="98"/>
      <c r="BA21" s="98"/>
      <c r="BB21" s="98"/>
      <c r="BD21" s="77"/>
      <c r="BE21" s="137" t="s">
        <v>21</v>
      </c>
      <c r="BF21" s="138"/>
      <c r="BG21" s="139"/>
      <c r="BH21" s="137" t="s">
        <v>22</v>
      </c>
      <c r="BI21" s="138"/>
      <c r="BJ21" s="139"/>
      <c r="BK21" s="140" t="s">
        <v>23</v>
      </c>
      <c r="BS21" s="77" t="s">
        <v>4</v>
      </c>
      <c r="BT21" s="77" t="s">
        <v>199</v>
      </c>
      <c r="BU21" s="77" t="s">
        <v>200</v>
      </c>
      <c r="BV21" s="77" t="s">
        <v>201</v>
      </c>
      <c r="CA21" s="77" t="s">
        <v>24</v>
      </c>
      <c r="CB21" s="77" t="s">
        <v>199</v>
      </c>
      <c r="CC21" s="77" t="s">
        <v>200</v>
      </c>
      <c r="CD21" s="77" t="s">
        <v>201</v>
      </c>
      <c r="CI21" s="155" t="s">
        <v>167</v>
      </c>
      <c r="CJ21" s="156" t="s">
        <v>202</v>
      </c>
      <c r="CK21" s="156" t="s">
        <v>26</v>
      </c>
      <c r="CL21" s="156" t="s">
        <v>168</v>
      </c>
      <c r="CM21" s="156" t="s">
        <v>169</v>
      </c>
      <c r="CN21" s="156"/>
      <c r="CO21" s="156" t="s">
        <v>29</v>
      </c>
      <c r="CP21" s="176" t="s">
        <v>199</v>
      </c>
      <c r="CQ21" s="176" t="s">
        <v>200</v>
      </c>
      <c r="CR21" s="176" t="s">
        <v>201</v>
      </c>
    </row>
    <row r="22" ht="24" customHeight="1" spans="1:96">
      <c r="A22" s="81"/>
      <c r="B22" s="83" t="s">
        <v>30</v>
      </c>
      <c r="C22" s="83">
        <v>128</v>
      </c>
      <c r="D22" s="83">
        <v>126</v>
      </c>
      <c r="E22" s="83">
        <v>123</v>
      </c>
      <c r="J22" s="83" t="s">
        <v>30</v>
      </c>
      <c r="K22" s="83">
        <v>128</v>
      </c>
      <c r="L22" s="83">
        <v>126</v>
      </c>
      <c r="M22" s="83">
        <v>123</v>
      </c>
      <c r="R22" s="91" t="s">
        <v>32</v>
      </c>
      <c r="S22" s="83">
        <v>63</v>
      </c>
      <c r="T22" s="83">
        <v>63</v>
      </c>
      <c r="U22" s="83">
        <v>60</v>
      </c>
      <c r="V22" s="92"/>
      <c r="Z22" s="93" t="s">
        <v>33</v>
      </c>
      <c r="AA22" s="83">
        <v>65</v>
      </c>
      <c r="AB22" s="83">
        <v>63</v>
      </c>
      <c r="AC22" s="83">
        <v>63</v>
      </c>
      <c r="AH22" s="93" t="s">
        <v>32</v>
      </c>
      <c r="AI22" s="83">
        <v>63</v>
      </c>
      <c r="AJ22" s="83">
        <v>63</v>
      </c>
      <c r="AK22" s="83">
        <v>60</v>
      </c>
      <c r="AW22" s="115" t="s">
        <v>34</v>
      </c>
      <c r="AX22" s="116" t="s">
        <v>35</v>
      </c>
      <c r="AY22" s="116" t="s">
        <v>199</v>
      </c>
      <c r="AZ22" s="116" t="s">
        <v>200</v>
      </c>
      <c r="BA22" s="116" t="s">
        <v>201</v>
      </c>
      <c r="BB22" s="116" t="s">
        <v>36</v>
      </c>
      <c r="BD22" s="126"/>
      <c r="BE22" s="126" t="s">
        <v>199</v>
      </c>
      <c r="BF22" s="126" t="s">
        <v>200</v>
      </c>
      <c r="BG22" s="126" t="s">
        <v>201</v>
      </c>
      <c r="BH22" s="126" t="s">
        <v>203</v>
      </c>
      <c r="BI22" s="126" t="s">
        <v>204</v>
      </c>
      <c r="BJ22" s="126" t="s">
        <v>205</v>
      </c>
      <c r="BK22" s="117"/>
      <c r="BS22" s="143" t="s">
        <v>43</v>
      </c>
      <c r="BT22" s="143">
        <v>0</v>
      </c>
      <c r="BU22" s="143">
        <v>1</v>
      </c>
      <c r="BV22" s="143">
        <v>2</v>
      </c>
      <c r="CA22" s="143" t="s">
        <v>44</v>
      </c>
      <c r="CB22" s="143">
        <v>15</v>
      </c>
      <c r="CC22" s="143">
        <v>22</v>
      </c>
      <c r="CD22" s="143">
        <v>91</v>
      </c>
      <c r="CI22" s="157" t="s">
        <v>43</v>
      </c>
      <c r="CJ22" s="157">
        <v>2</v>
      </c>
      <c r="CK22" s="157" t="s">
        <v>170</v>
      </c>
      <c r="CL22" s="157" t="s">
        <v>46</v>
      </c>
      <c r="CM22" s="157" t="s">
        <v>171</v>
      </c>
      <c r="CN22" s="156"/>
      <c r="CO22" s="177" t="s">
        <v>43</v>
      </c>
      <c r="CP22" s="143">
        <v>0</v>
      </c>
      <c r="CQ22" s="143">
        <v>1</v>
      </c>
      <c r="CR22" s="143">
        <v>2</v>
      </c>
    </row>
    <row r="23" ht="28" customHeight="1" spans="1:96">
      <c r="A23" s="81"/>
      <c r="B23" s="84" t="s">
        <v>206</v>
      </c>
      <c r="C23" s="84">
        <v>2</v>
      </c>
      <c r="D23" s="84">
        <v>3</v>
      </c>
      <c r="E23" s="84">
        <v>2</v>
      </c>
      <c r="J23" s="84" t="s">
        <v>207</v>
      </c>
      <c r="K23" s="84">
        <v>65</v>
      </c>
      <c r="L23" s="84">
        <v>63</v>
      </c>
      <c r="M23" s="84">
        <v>63</v>
      </c>
      <c r="R23" s="80" t="s">
        <v>51</v>
      </c>
      <c r="S23" s="84">
        <v>55</v>
      </c>
      <c r="T23" s="84">
        <v>55</v>
      </c>
      <c r="U23" s="84">
        <v>52</v>
      </c>
      <c r="V23" s="92"/>
      <c r="Z23" s="84" t="s">
        <v>52</v>
      </c>
      <c r="AA23" s="84">
        <v>48</v>
      </c>
      <c r="AB23" s="84">
        <v>47</v>
      </c>
      <c r="AC23" s="84">
        <v>48</v>
      </c>
      <c r="AH23" s="84" t="s">
        <v>53</v>
      </c>
      <c r="AI23" s="84">
        <v>61</v>
      </c>
      <c r="AJ23" s="84">
        <v>60</v>
      </c>
      <c r="AK23" s="84">
        <v>58</v>
      </c>
      <c r="AW23" s="118" t="s">
        <v>54</v>
      </c>
      <c r="AX23" s="119">
        <v>11</v>
      </c>
      <c r="AY23" s="86">
        <v>11</v>
      </c>
      <c r="AZ23" s="119">
        <v>12</v>
      </c>
      <c r="BA23" s="86">
        <v>11</v>
      </c>
      <c r="BB23" s="119" t="s">
        <v>208</v>
      </c>
      <c r="BD23" s="120" t="s">
        <v>57</v>
      </c>
      <c r="BE23" s="80">
        <v>26</v>
      </c>
      <c r="BF23" s="80">
        <v>26</v>
      </c>
      <c r="BG23" s="80">
        <v>28</v>
      </c>
      <c r="BH23" s="141">
        <v>0.71</v>
      </c>
      <c r="BI23" s="141">
        <v>0.67</v>
      </c>
      <c r="BJ23" s="141">
        <v>0.69</v>
      </c>
      <c r="BK23" s="80" t="s">
        <v>209</v>
      </c>
      <c r="BS23" s="144" t="s">
        <v>64</v>
      </c>
      <c r="BT23" s="144">
        <v>19</v>
      </c>
      <c r="BU23" s="144">
        <v>0</v>
      </c>
      <c r="BV23" s="144">
        <v>13</v>
      </c>
      <c r="CA23" s="144" t="s">
        <v>65</v>
      </c>
      <c r="CB23" s="144">
        <v>0</v>
      </c>
      <c r="CC23" s="144">
        <v>3</v>
      </c>
      <c r="CD23" s="144">
        <v>0</v>
      </c>
      <c r="CI23" s="158"/>
      <c r="CJ23" s="158"/>
      <c r="CK23" s="158"/>
      <c r="CL23" s="158"/>
      <c r="CM23" s="158"/>
      <c r="CN23" s="156"/>
      <c r="CO23" s="177" t="s">
        <v>64</v>
      </c>
      <c r="CP23" s="177">
        <v>19</v>
      </c>
      <c r="CQ23" s="177">
        <v>0</v>
      </c>
      <c r="CR23" s="177">
        <v>13</v>
      </c>
    </row>
    <row r="24" ht="30" customHeight="1" spans="1:96">
      <c r="A24" s="81"/>
      <c r="B24" s="83" t="s">
        <v>210</v>
      </c>
      <c r="C24" s="83">
        <v>5</v>
      </c>
      <c r="D24" s="83">
        <v>5</v>
      </c>
      <c r="E24" s="83">
        <v>4</v>
      </c>
      <c r="J24" s="83" t="s">
        <v>211</v>
      </c>
      <c r="K24" s="83">
        <v>63</v>
      </c>
      <c r="L24" s="83">
        <v>63</v>
      </c>
      <c r="M24" s="83">
        <v>60</v>
      </c>
      <c r="R24" s="79" t="s">
        <v>71</v>
      </c>
      <c r="S24" s="83">
        <v>8</v>
      </c>
      <c r="T24" s="83">
        <v>8</v>
      </c>
      <c r="U24" s="83">
        <v>8</v>
      </c>
      <c r="V24" s="92"/>
      <c r="Z24" s="83" t="s">
        <v>212</v>
      </c>
      <c r="AA24" s="83">
        <v>7</v>
      </c>
      <c r="AB24" s="83">
        <v>6</v>
      </c>
      <c r="AC24" s="83">
        <v>6</v>
      </c>
      <c r="AH24" s="83" t="s">
        <v>73</v>
      </c>
      <c r="AI24" s="83">
        <v>2</v>
      </c>
      <c r="AJ24" s="83">
        <v>3</v>
      </c>
      <c r="AK24" s="83">
        <v>2</v>
      </c>
      <c r="AW24" s="121" t="s">
        <v>74</v>
      </c>
      <c r="AX24" s="122">
        <v>1</v>
      </c>
      <c r="AY24" s="123">
        <v>1</v>
      </c>
      <c r="AZ24" s="123">
        <v>1</v>
      </c>
      <c r="BA24" s="123">
        <v>1</v>
      </c>
      <c r="BB24" s="123" t="s">
        <v>55</v>
      </c>
      <c r="BD24" s="124" t="s">
        <v>75</v>
      </c>
      <c r="BE24" s="79">
        <v>6</v>
      </c>
      <c r="BF24" s="79">
        <v>5</v>
      </c>
      <c r="BG24" s="79">
        <v>3</v>
      </c>
      <c r="BH24" s="142">
        <v>0.71</v>
      </c>
      <c r="BI24" s="142">
        <v>0.6</v>
      </c>
      <c r="BJ24" s="142">
        <v>0.86</v>
      </c>
      <c r="BK24" s="80" t="s">
        <v>124</v>
      </c>
      <c r="BS24" s="143" t="s">
        <v>83</v>
      </c>
      <c r="BT24" s="143">
        <v>16</v>
      </c>
      <c r="BU24" s="143">
        <v>18</v>
      </c>
      <c r="BV24" s="143">
        <v>8</v>
      </c>
      <c r="CA24" s="143" t="s">
        <v>84</v>
      </c>
      <c r="CB24" s="143">
        <v>75</v>
      </c>
      <c r="CC24" s="143">
        <v>1</v>
      </c>
      <c r="CD24" s="143">
        <v>25</v>
      </c>
      <c r="CI24" s="159" t="s">
        <v>83</v>
      </c>
      <c r="CJ24" s="159">
        <v>21</v>
      </c>
      <c r="CK24" s="159" t="s">
        <v>173</v>
      </c>
      <c r="CL24" s="159" t="s">
        <v>46</v>
      </c>
      <c r="CM24" s="159" t="s">
        <v>174</v>
      </c>
      <c r="CN24" s="156"/>
      <c r="CO24" s="178" t="s">
        <v>83</v>
      </c>
      <c r="CP24" s="178">
        <v>16</v>
      </c>
      <c r="CQ24" s="178">
        <v>18</v>
      </c>
      <c r="CR24" s="178">
        <v>8</v>
      </c>
    </row>
    <row r="25" ht="31.5" spans="1:96">
      <c r="A25" s="81"/>
      <c r="Z25" s="84" t="s">
        <v>213</v>
      </c>
      <c r="AA25" s="84">
        <v>6</v>
      </c>
      <c r="AB25" s="84">
        <v>6</v>
      </c>
      <c r="AC25" s="84">
        <v>5</v>
      </c>
      <c r="AH25" s="84" t="s">
        <v>89</v>
      </c>
      <c r="AI25" s="95" t="s">
        <v>214</v>
      </c>
      <c r="AJ25" s="96"/>
      <c r="AK25" s="97"/>
      <c r="AW25" s="118" t="s">
        <v>92</v>
      </c>
      <c r="AX25" s="119">
        <v>2</v>
      </c>
      <c r="AY25" s="86">
        <v>2</v>
      </c>
      <c r="AZ25" s="86">
        <v>2</v>
      </c>
      <c r="BA25" s="86">
        <v>2</v>
      </c>
      <c r="BB25" s="86" t="s">
        <v>55</v>
      </c>
      <c r="BD25" s="120" t="s">
        <v>93</v>
      </c>
      <c r="BE25" s="80">
        <v>9</v>
      </c>
      <c r="BF25" s="80">
        <v>11</v>
      </c>
      <c r="BG25" s="80">
        <v>12</v>
      </c>
      <c r="BH25" s="141">
        <v>0.69</v>
      </c>
      <c r="BI25" s="141">
        <v>0.74</v>
      </c>
      <c r="BJ25" s="141">
        <v>0.65</v>
      </c>
      <c r="BK25" s="80" t="s">
        <v>209</v>
      </c>
      <c r="BS25" s="144" t="s">
        <v>100</v>
      </c>
      <c r="BT25" s="144">
        <v>0</v>
      </c>
      <c r="BU25" s="144">
        <v>0</v>
      </c>
      <c r="BV25" s="144">
        <v>0</v>
      </c>
      <c r="CA25" s="144" t="s">
        <v>101</v>
      </c>
      <c r="CB25" s="144">
        <v>0</v>
      </c>
      <c r="CC25" s="144">
        <v>0</v>
      </c>
      <c r="CD25" s="144">
        <v>0</v>
      </c>
      <c r="CI25" s="159"/>
      <c r="CJ25" s="159"/>
      <c r="CK25" s="159"/>
      <c r="CL25" s="159"/>
      <c r="CM25" s="159"/>
      <c r="CN25" s="156"/>
      <c r="CO25" s="171" t="s">
        <v>100</v>
      </c>
      <c r="CP25" s="144">
        <v>0</v>
      </c>
      <c r="CQ25" s="144">
        <v>0</v>
      </c>
      <c r="CR25" s="144">
        <v>0</v>
      </c>
    </row>
    <row r="26" spans="1:96">
      <c r="A26" s="81"/>
      <c r="Z26" s="83" t="s">
        <v>215</v>
      </c>
      <c r="AA26" s="83">
        <v>4</v>
      </c>
      <c r="AB26" s="83">
        <v>4</v>
      </c>
      <c r="AC26" s="83">
        <v>4</v>
      </c>
      <c r="AW26" s="121" t="s">
        <v>108</v>
      </c>
      <c r="AX26" s="122">
        <v>4</v>
      </c>
      <c r="AY26" s="123">
        <v>4</v>
      </c>
      <c r="AZ26" s="123">
        <v>4</v>
      </c>
      <c r="BA26" s="123">
        <v>4</v>
      </c>
      <c r="BB26" s="123" t="s">
        <v>55</v>
      </c>
      <c r="BD26" s="124" t="s">
        <v>110</v>
      </c>
      <c r="BE26" s="79">
        <v>4</v>
      </c>
      <c r="BF26" s="79">
        <v>4</v>
      </c>
      <c r="BG26" s="79">
        <v>3</v>
      </c>
      <c r="BH26" s="142">
        <v>0.51</v>
      </c>
      <c r="BI26" s="142" t="s">
        <v>216</v>
      </c>
      <c r="BJ26" s="142">
        <v>0.95</v>
      </c>
      <c r="BK26" s="80" t="s">
        <v>82</v>
      </c>
      <c r="BS26" s="143" t="s">
        <v>114</v>
      </c>
      <c r="BT26" s="143">
        <v>0</v>
      </c>
      <c r="BU26" s="143">
        <v>2</v>
      </c>
      <c r="BV26" s="143">
        <v>2</v>
      </c>
      <c r="CA26" s="143" t="s">
        <v>115</v>
      </c>
      <c r="CB26" s="143">
        <v>0</v>
      </c>
      <c r="CC26" s="143">
        <v>60</v>
      </c>
      <c r="CD26" s="143">
        <v>0</v>
      </c>
      <c r="CI26" s="159"/>
      <c r="CJ26" s="159"/>
      <c r="CK26" s="159"/>
      <c r="CL26" s="159"/>
      <c r="CM26" s="159"/>
      <c r="CN26" s="156"/>
      <c r="CO26" s="171" t="s">
        <v>114</v>
      </c>
      <c r="CP26" s="171">
        <v>0</v>
      </c>
      <c r="CQ26" s="171">
        <v>2</v>
      </c>
      <c r="CR26" s="171">
        <v>2</v>
      </c>
    </row>
    <row r="27" s="73" customFormat="1" ht="31.5" spans="1:96">
      <c r="A27" s="81"/>
      <c r="AW27" s="83" t="s">
        <v>217</v>
      </c>
      <c r="AX27" s="91">
        <v>1</v>
      </c>
      <c r="AY27" s="79">
        <v>1</v>
      </c>
      <c r="AZ27" s="79">
        <v>1</v>
      </c>
      <c r="BA27" s="79">
        <v>1</v>
      </c>
      <c r="BB27" s="79" t="s">
        <v>55</v>
      </c>
      <c r="BD27" s="120" t="s">
        <v>101</v>
      </c>
      <c r="BE27" s="80">
        <v>1</v>
      </c>
      <c r="BF27" s="80">
        <v>0</v>
      </c>
      <c r="BG27" s="80">
        <v>0</v>
      </c>
      <c r="BH27" s="141">
        <v>0.85</v>
      </c>
      <c r="BI27" s="80">
        <v>0</v>
      </c>
      <c r="BJ27" s="80">
        <v>0</v>
      </c>
      <c r="BK27" s="80" t="s">
        <v>124</v>
      </c>
      <c r="BS27" s="144" t="s">
        <v>110</v>
      </c>
      <c r="BT27" s="144">
        <v>0</v>
      </c>
      <c r="BU27" s="144">
        <v>1</v>
      </c>
      <c r="BV27" s="144">
        <v>0</v>
      </c>
      <c r="CA27" s="144" t="s">
        <v>218</v>
      </c>
      <c r="CB27" s="150" t="s">
        <v>219</v>
      </c>
      <c r="CC27" s="160"/>
      <c r="CD27" s="161"/>
      <c r="CI27" s="162" t="s">
        <v>93</v>
      </c>
      <c r="CJ27" s="162">
        <v>9</v>
      </c>
      <c r="CK27" s="162" t="s">
        <v>178</v>
      </c>
      <c r="CL27" s="162" t="s">
        <v>126</v>
      </c>
      <c r="CM27" s="162" t="s">
        <v>179</v>
      </c>
      <c r="CN27" s="156"/>
      <c r="CO27" s="179" t="s">
        <v>44</v>
      </c>
      <c r="CP27" s="143">
        <v>15</v>
      </c>
      <c r="CQ27" s="143">
        <v>22</v>
      </c>
      <c r="CR27" s="143">
        <v>91</v>
      </c>
    </row>
    <row r="28" spans="1:96">
      <c r="A28" s="81"/>
      <c r="AW28" s="121" t="s">
        <v>220</v>
      </c>
      <c r="AX28" s="122">
        <v>3</v>
      </c>
      <c r="AY28" s="122">
        <v>2</v>
      </c>
      <c r="AZ28" s="123">
        <v>3</v>
      </c>
      <c r="BA28" s="123">
        <v>3</v>
      </c>
      <c r="BB28" s="122" t="s">
        <v>221</v>
      </c>
      <c r="BD28" s="124" t="s">
        <v>131</v>
      </c>
      <c r="BE28" s="79">
        <v>2</v>
      </c>
      <c r="BF28" s="79">
        <v>1</v>
      </c>
      <c r="BG28" s="79">
        <v>2</v>
      </c>
      <c r="BH28" s="79" t="s">
        <v>222</v>
      </c>
      <c r="BI28" s="79"/>
      <c r="BJ28" s="79"/>
      <c r="BK28" s="80" t="s">
        <v>124</v>
      </c>
      <c r="CI28" s="162" t="s">
        <v>180</v>
      </c>
      <c r="CJ28" s="162">
        <v>3</v>
      </c>
      <c r="CK28" s="162" t="s">
        <v>181</v>
      </c>
      <c r="CL28" s="162" t="s">
        <v>181</v>
      </c>
      <c r="CM28" s="162" t="s">
        <v>181</v>
      </c>
      <c r="CN28" s="156"/>
      <c r="CO28" s="169" t="s">
        <v>65</v>
      </c>
      <c r="CP28" s="169">
        <v>0</v>
      </c>
      <c r="CQ28" s="169">
        <v>3</v>
      </c>
      <c r="CR28" s="169">
        <v>0</v>
      </c>
    </row>
    <row r="29" spans="1:96">
      <c r="A29" s="81"/>
      <c r="AW29" s="118" t="s">
        <v>135</v>
      </c>
      <c r="AX29" s="119">
        <v>1</v>
      </c>
      <c r="AY29" s="119">
        <v>3</v>
      </c>
      <c r="AZ29" s="119">
        <v>2</v>
      </c>
      <c r="BA29" s="119">
        <v>2</v>
      </c>
      <c r="BB29" s="133" t="s">
        <v>223</v>
      </c>
      <c r="CI29" s="162" t="s">
        <v>131</v>
      </c>
      <c r="CJ29" s="162">
        <v>2</v>
      </c>
      <c r="CK29" s="162" t="s">
        <v>181</v>
      </c>
      <c r="CL29" s="162" t="s">
        <v>181</v>
      </c>
      <c r="CM29" s="162" t="s">
        <v>181</v>
      </c>
      <c r="CN29" s="156"/>
      <c r="CO29" s="169" t="s">
        <v>84</v>
      </c>
      <c r="CP29" s="143">
        <v>75</v>
      </c>
      <c r="CQ29" s="143">
        <v>1</v>
      </c>
      <c r="CR29" s="143">
        <v>25</v>
      </c>
    </row>
    <row r="30" spans="1:96">
      <c r="A30" s="81"/>
      <c r="AW30" s="121" t="s">
        <v>137</v>
      </c>
      <c r="AX30" s="122">
        <v>1</v>
      </c>
      <c r="AY30" s="122">
        <v>2</v>
      </c>
      <c r="AZ30" s="122">
        <v>3</v>
      </c>
      <c r="BA30" s="122">
        <v>2</v>
      </c>
      <c r="BB30" s="133" t="s">
        <v>223</v>
      </c>
      <c r="CI30" s="163" t="s">
        <v>224</v>
      </c>
      <c r="CJ30" s="164">
        <f>SUM(CJ22:CJ29)</f>
        <v>37</v>
      </c>
      <c r="CK30" s="180"/>
      <c r="CL30" s="181"/>
      <c r="CM30" s="182"/>
      <c r="CN30" s="156"/>
      <c r="CO30" s="169" t="s">
        <v>101</v>
      </c>
      <c r="CP30" s="169">
        <v>0</v>
      </c>
      <c r="CQ30" s="169">
        <v>0</v>
      </c>
      <c r="CR30" s="169">
        <v>0</v>
      </c>
    </row>
    <row r="31" spans="1:96">
      <c r="A31" s="81"/>
      <c r="AW31" s="118" t="s">
        <v>140</v>
      </c>
      <c r="AX31" s="119">
        <v>2</v>
      </c>
      <c r="AY31" s="86">
        <v>2</v>
      </c>
      <c r="AZ31" s="86">
        <v>2</v>
      </c>
      <c r="BA31" s="86">
        <v>2</v>
      </c>
      <c r="BB31" s="86" t="s">
        <v>55</v>
      </c>
      <c r="CI31" s="165"/>
      <c r="CJ31" s="166"/>
      <c r="CK31" s="183"/>
      <c r="CL31" s="184"/>
      <c r="CM31" s="185"/>
      <c r="CN31" s="156"/>
      <c r="CO31" s="179" t="s">
        <v>115</v>
      </c>
      <c r="CP31" s="143">
        <v>0</v>
      </c>
      <c r="CQ31" s="143">
        <v>60</v>
      </c>
      <c r="CR31" s="143">
        <v>0</v>
      </c>
    </row>
    <row r="32" spans="1:54">
      <c r="A32" s="81"/>
      <c r="AW32" s="121" t="s">
        <v>145</v>
      </c>
      <c r="AX32" s="122">
        <v>1</v>
      </c>
      <c r="AY32" s="123">
        <v>1</v>
      </c>
      <c r="AZ32" s="123">
        <v>1</v>
      </c>
      <c r="BA32" s="123">
        <v>1</v>
      </c>
      <c r="BB32" s="123" t="s">
        <v>55</v>
      </c>
    </row>
    <row r="33" spans="1:54">
      <c r="A33" s="81"/>
      <c r="AW33" s="118" t="s">
        <v>148</v>
      </c>
      <c r="AX33" s="119">
        <v>8</v>
      </c>
      <c r="AY33" s="119">
        <v>11</v>
      </c>
      <c r="AZ33" s="119">
        <v>9</v>
      </c>
      <c r="BA33" s="86">
        <v>8</v>
      </c>
      <c r="BB33" s="119" t="s">
        <v>225</v>
      </c>
    </row>
    <row r="34" spans="1:54">
      <c r="A34" s="81"/>
      <c r="AW34" s="121" t="s">
        <v>150</v>
      </c>
      <c r="AX34" s="122">
        <v>8</v>
      </c>
      <c r="AY34" s="123">
        <v>8</v>
      </c>
      <c r="AZ34" s="123">
        <v>8</v>
      </c>
      <c r="BA34" s="123">
        <v>8</v>
      </c>
      <c r="BB34" s="123" t="s">
        <v>152</v>
      </c>
    </row>
    <row r="35" spans="1:93">
      <c r="A35" s="81"/>
      <c r="AW35" s="118" t="s">
        <v>155</v>
      </c>
      <c r="AX35" s="119">
        <v>3</v>
      </c>
      <c r="AY35" s="86">
        <v>3</v>
      </c>
      <c r="AZ35" s="86">
        <v>3</v>
      </c>
      <c r="BA35" s="86">
        <v>3</v>
      </c>
      <c r="BB35" s="86" t="s">
        <v>55</v>
      </c>
      <c r="CI35" s="74"/>
      <c r="CJ35" s="74"/>
      <c r="CK35" s="74"/>
      <c r="CL35" s="74"/>
      <c r="CM35" s="74"/>
      <c r="CN35" s="74"/>
      <c r="CO35" s="74"/>
    </row>
    <row r="36" spans="49:93">
      <c r="AW36" s="121" t="s">
        <v>161</v>
      </c>
      <c r="AX36" s="122">
        <v>7</v>
      </c>
      <c r="AY36" s="122">
        <v>12</v>
      </c>
      <c r="AZ36" s="122">
        <v>12</v>
      </c>
      <c r="BA36" s="122">
        <v>12</v>
      </c>
      <c r="BB36" s="122" t="s">
        <v>226</v>
      </c>
      <c r="CI36" s="74"/>
      <c r="CJ36" s="74"/>
      <c r="CK36" s="74"/>
      <c r="CL36" s="74"/>
      <c r="CM36" s="74"/>
      <c r="CN36" s="74"/>
      <c r="CO36" s="74"/>
    </row>
    <row r="37" spans="49:54">
      <c r="AW37" s="130" t="s">
        <v>166</v>
      </c>
      <c r="AX37" s="122">
        <v>53</v>
      </c>
      <c r="AY37" s="122">
        <v>63</v>
      </c>
      <c r="AZ37" s="122">
        <v>63</v>
      </c>
      <c r="BA37" s="122">
        <v>60</v>
      </c>
      <c r="BB37" s="131"/>
    </row>
    <row r="39" spans="50:53">
      <c r="AX39" s="114">
        <f>SUM(AX23:AX36)</f>
        <v>53</v>
      </c>
      <c r="AY39" s="114">
        <f>SUM(AY23:AY36)</f>
        <v>63</v>
      </c>
      <c r="AZ39" s="114">
        <f>SUM(AZ23:AZ36)</f>
        <v>63</v>
      </c>
      <c r="BA39" s="114">
        <f>SUM(BA23:BA36)</f>
        <v>60</v>
      </c>
    </row>
  </sheetData>
  <mergeCells count="47">
    <mergeCell ref="AP1:AU1"/>
    <mergeCell ref="AW1:BB1"/>
    <mergeCell ref="BE1:BJ1"/>
    <mergeCell ref="BK1:BP1"/>
    <mergeCell ref="AI5:AM5"/>
    <mergeCell ref="BK8:BM8"/>
    <mergeCell ref="BK20:BM20"/>
    <mergeCell ref="AW21:BB21"/>
    <mergeCell ref="BE21:BG21"/>
    <mergeCell ref="BH21:BJ21"/>
    <mergeCell ref="AI25:AK25"/>
    <mergeCell ref="CB27:CD27"/>
    <mergeCell ref="BH28:BJ28"/>
    <mergeCell ref="A1:A14"/>
    <mergeCell ref="A21:A35"/>
    <mergeCell ref="J3:J4"/>
    <mergeCell ref="J5:J6"/>
    <mergeCell ref="CB7:CB9"/>
    <mergeCell ref="CC7:CC9"/>
    <mergeCell ref="CD7:CD9"/>
    <mergeCell ref="CE7:CE9"/>
    <mergeCell ref="CF7:CF9"/>
    <mergeCell ref="CG7:CG9"/>
    <mergeCell ref="CI2:CI3"/>
    <mergeCell ref="CI4:CI6"/>
    <mergeCell ref="CI22:CI23"/>
    <mergeCell ref="CI24:CI26"/>
    <mergeCell ref="CI30:CI31"/>
    <mergeCell ref="CJ2:CJ3"/>
    <mergeCell ref="CJ4:CJ6"/>
    <mergeCell ref="CJ22:CJ23"/>
    <mergeCell ref="CJ24:CJ26"/>
    <mergeCell ref="CJ30:CJ31"/>
    <mergeCell ref="CK2:CK3"/>
    <mergeCell ref="CK4:CK6"/>
    <mergeCell ref="CK22:CK23"/>
    <mergeCell ref="CK24:CK26"/>
    <mergeCell ref="CL2:CL3"/>
    <mergeCell ref="CL4:CL6"/>
    <mergeCell ref="CL22:CL23"/>
    <mergeCell ref="CL24:CL26"/>
    <mergeCell ref="CM2:CM3"/>
    <mergeCell ref="CM4:CM6"/>
    <mergeCell ref="CM22:CM23"/>
    <mergeCell ref="CM24:CM26"/>
    <mergeCell ref="CN21:CN31"/>
    <mergeCell ref="CK30:CM31"/>
  </mergeCells>
  <pageMargins left="0.75" right="0.75" top="1" bottom="1" header="0.5" footer="0.5"/>
  <headerFooter/>
  <ignoredErrors>
    <ignoredError sqref="AQ20 AX39:BA39 AX19:BA19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workbookViewId="0">
      <selection activeCell="A64" sqref="A64"/>
    </sheetView>
  </sheetViews>
  <sheetFormatPr defaultColWidth="9.14285714285714" defaultRowHeight="15" outlineLevelCol="1"/>
  <cols>
    <col min="1" max="1" width="25.2857142857143" customWidth="1"/>
    <col min="2" max="2" width="16.4285714285714" customWidth="1"/>
    <col min="3" max="3" width="3.28571428571429" customWidth="1"/>
    <col min="4" max="4" width="10.7142857142857"/>
    <col min="14" max="14" width="12.4285714285714" customWidth="1"/>
    <col min="15" max="15" width="7.85714285714286" customWidth="1"/>
    <col min="28" max="28" width="30.8571428571429" customWidth="1"/>
  </cols>
  <sheetData>
    <row r="1" ht="15.75" spans="1:2">
      <c r="A1" s="1" t="s">
        <v>143</v>
      </c>
      <c r="B1" s="3"/>
    </row>
    <row r="2" spans="1:2">
      <c r="A2" s="54" t="s">
        <v>227</v>
      </c>
      <c r="B2" s="55">
        <v>45726</v>
      </c>
    </row>
    <row r="3" spans="1:2">
      <c r="A3" s="56" t="s">
        <v>228</v>
      </c>
      <c r="B3" s="57">
        <v>45728</v>
      </c>
    </row>
    <row r="4" spans="1:2">
      <c r="A4" s="56" t="s">
        <v>229</v>
      </c>
      <c r="B4" s="57">
        <v>45729</v>
      </c>
    </row>
    <row r="5" spans="1:2">
      <c r="A5" s="56" t="s">
        <v>230</v>
      </c>
      <c r="B5" s="57">
        <v>45729</v>
      </c>
    </row>
    <row r="6" spans="1:2">
      <c r="A6" s="56" t="s">
        <v>231</v>
      </c>
      <c r="B6" s="57">
        <v>45737</v>
      </c>
    </row>
    <row r="8" spans="1:2">
      <c r="A8" s="58" t="s">
        <v>232</v>
      </c>
      <c r="B8" s="58" t="s">
        <v>233</v>
      </c>
    </row>
    <row r="9" spans="1:2">
      <c r="A9" s="58" t="s">
        <v>234</v>
      </c>
      <c r="B9" s="58" t="s">
        <v>233</v>
      </c>
    </row>
    <row r="10" spans="1:2">
      <c r="A10" s="58" t="s">
        <v>235</v>
      </c>
      <c r="B10" s="57">
        <v>45756</v>
      </c>
    </row>
    <row r="11" spans="1:2">
      <c r="A11" s="58" t="s">
        <v>236</v>
      </c>
      <c r="B11" s="57">
        <v>45756</v>
      </c>
    </row>
    <row r="12" spans="1:2">
      <c r="A12" s="58" t="s">
        <v>237</v>
      </c>
      <c r="B12" s="57">
        <v>45758</v>
      </c>
    </row>
    <row r="13" spans="1:2">
      <c r="A13" s="58" t="s">
        <v>238</v>
      </c>
      <c r="B13" s="57">
        <v>45765</v>
      </c>
    </row>
    <row r="14" spans="1:2">
      <c r="A14" s="58" t="s">
        <v>239</v>
      </c>
      <c r="B14" s="57">
        <v>45777</v>
      </c>
    </row>
    <row r="15" spans="1:2">
      <c r="A15" s="58" t="s">
        <v>240</v>
      </c>
      <c r="B15" s="57" t="s">
        <v>241</v>
      </c>
    </row>
    <row r="17" spans="1:2">
      <c r="A17" s="58" t="s">
        <v>242</v>
      </c>
      <c r="B17" s="57">
        <v>45782</v>
      </c>
    </row>
    <row r="18" spans="1:2">
      <c r="A18" s="58" t="s">
        <v>243</v>
      </c>
      <c r="B18" s="57">
        <v>45807</v>
      </c>
    </row>
    <row r="19" spans="1:2">
      <c r="A19" s="58" t="s">
        <v>244</v>
      </c>
      <c r="B19" s="57">
        <v>45807</v>
      </c>
    </row>
    <row r="20" spans="1:2">
      <c r="A20" s="58" t="s">
        <v>245</v>
      </c>
      <c r="B20" s="57">
        <v>45807</v>
      </c>
    </row>
    <row r="22" spans="1:2">
      <c r="A22" s="58" t="s">
        <v>246</v>
      </c>
      <c r="B22" s="57">
        <v>45814</v>
      </c>
    </row>
    <row r="23" spans="1:2">
      <c r="A23" s="58" t="s">
        <v>247</v>
      </c>
      <c r="B23" s="57">
        <v>45818</v>
      </c>
    </row>
    <row r="24" spans="1:2">
      <c r="A24" s="58" t="s">
        <v>248</v>
      </c>
      <c r="B24" s="57">
        <v>45819</v>
      </c>
    </row>
    <row r="25" spans="1:2">
      <c r="A25" s="58" t="s">
        <v>249</v>
      </c>
      <c r="B25" s="57">
        <v>45835</v>
      </c>
    </row>
    <row r="27" spans="1:2">
      <c r="A27" s="58" t="s">
        <v>250</v>
      </c>
      <c r="B27" s="59">
        <v>45853</v>
      </c>
    </row>
    <row r="28" spans="1:2">
      <c r="A28" s="60" t="s">
        <v>251</v>
      </c>
      <c r="B28" s="59">
        <v>45859</v>
      </c>
    </row>
    <row r="29" spans="1:2">
      <c r="A29" s="61" t="s">
        <v>252</v>
      </c>
      <c r="B29" s="59">
        <v>45869</v>
      </c>
    </row>
    <row r="30" spans="1:2">
      <c r="A30" s="62" t="s">
        <v>253</v>
      </c>
      <c r="B30" s="63" t="s">
        <v>254</v>
      </c>
    </row>
    <row r="32" spans="1:2">
      <c r="A32" s="64" t="s">
        <v>255</v>
      </c>
      <c r="B32" s="65">
        <v>45898</v>
      </c>
    </row>
    <row r="34" spans="1:2">
      <c r="A34" s="61" t="s">
        <v>256</v>
      </c>
      <c r="B34" s="59">
        <v>45901</v>
      </c>
    </row>
    <row r="35" spans="1:2">
      <c r="A35" s="66" t="s">
        <v>257</v>
      </c>
      <c r="B35" s="67" t="s">
        <v>258</v>
      </c>
    </row>
    <row r="36" spans="1:2">
      <c r="A36" s="66" t="s">
        <v>259</v>
      </c>
      <c r="B36" s="67" t="s">
        <v>260</v>
      </c>
    </row>
    <row r="37" spans="1:2">
      <c r="A37" s="66" t="s">
        <v>261</v>
      </c>
      <c r="B37" s="67" t="s">
        <v>262</v>
      </c>
    </row>
    <row r="39" spans="1:2">
      <c r="A39" s="66" t="s">
        <v>263</v>
      </c>
      <c r="B39" s="68">
        <v>45938</v>
      </c>
    </row>
    <row r="40" spans="1:2">
      <c r="A40" s="66" t="s">
        <v>264</v>
      </c>
      <c r="B40" s="68">
        <v>45945</v>
      </c>
    </row>
    <row r="41" spans="1:2">
      <c r="A41" s="66" t="s">
        <v>265</v>
      </c>
      <c r="B41" s="69">
        <v>45952</v>
      </c>
    </row>
    <row r="43" spans="1:2">
      <c r="A43" s="66" t="s">
        <v>266</v>
      </c>
      <c r="B43" s="70">
        <v>45989</v>
      </c>
    </row>
    <row r="45" spans="1:2">
      <c r="A45" s="66" t="s">
        <v>267</v>
      </c>
      <c r="B45" s="70">
        <v>45992</v>
      </c>
    </row>
    <row r="46" spans="1:2">
      <c r="A46" s="66" t="s">
        <v>268</v>
      </c>
      <c r="B46" s="70">
        <v>45996</v>
      </c>
    </row>
    <row r="47" spans="1:2">
      <c r="A47" s="66" t="s">
        <v>269</v>
      </c>
      <c r="B47" s="70">
        <v>45996</v>
      </c>
    </row>
    <row r="48" spans="1:2">
      <c r="A48" s="66" t="s">
        <v>270</v>
      </c>
      <c r="B48" s="70">
        <v>45996</v>
      </c>
    </row>
    <row r="49" spans="1:2">
      <c r="A49" s="66" t="s">
        <v>271</v>
      </c>
      <c r="B49" s="70">
        <v>46015</v>
      </c>
    </row>
    <row r="50" spans="1:2">
      <c r="A50" s="66" t="s">
        <v>272</v>
      </c>
      <c r="B50" s="70">
        <v>46017</v>
      </c>
    </row>
    <row r="52" spans="1:2">
      <c r="A52" s="66" t="s">
        <v>273</v>
      </c>
      <c r="B52" s="70">
        <v>46029</v>
      </c>
    </row>
    <row r="53" spans="1:2">
      <c r="A53" s="66" t="s">
        <v>274</v>
      </c>
      <c r="B53" s="70">
        <v>46037</v>
      </c>
    </row>
    <row r="54" spans="1:2">
      <c r="A54" s="66" t="s">
        <v>275</v>
      </c>
      <c r="B54" s="70">
        <v>46049</v>
      </c>
    </row>
    <row r="55" spans="1:2">
      <c r="A55" s="66" t="s">
        <v>276</v>
      </c>
      <c r="B55" s="70">
        <v>46052</v>
      </c>
    </row>
    <row r="56" spans="1:2">
      <c r="A56" s="66" t="s">
        <v>277</v>
      </c>
      <c r="B56" s="70">
        <v>46052</v>
      </c>
    </row>
    <row r="57" spans="2:2">
      <c r="B57" s="71"/>
    </row>
    <row r="58" spans="1:2">
      <c r="A58" s="66" t="s">
        <v>278</v>
      </c>
      <c r="B58" s="70">
        <v>46059</v>
      </c>
    </row>
    <row r="59" spans="1:2">
      <c r="A59" s="66" t="s">
        <v>279</v>
      </c>
      <c r="B59" s="70">
        <v>46059</v>
      </c>
    </row>
    <row r="60" spans="1:2">
      <c r="A60" s="66" t="s">
        <v>280</v>
      </c>
      <c r="B60" s="70">
        <v>46064</v>
      </c>
    </row>
    <row r="61" spans="1:2">
      <c r="A61" s="66" t="s">
        <v>281</v>
      </c>
      <c r="B61" s="70">
        <v>46065</v>
      </c>
    </row>
    <row r="62" spans="1:2">
      <c r="A62" s="66" t="s">
        <v>282</v>
      </c>
      <c r="B62" s="70">
        <v>46080</v>
      </c>
    </row>
    <row r="64" spans="1:2">
      <c r="A64" s="72" t="s">
        <v>283</v>
      </c>
      <c r="B64" s="70">
        <v>46106</v>
      </c>
    </row>
    <row r="65" spans="1:2">
      <c r="A65" s="72" t="s">
        <v>284</v>
      </c>
      <c r="B65" s="70">
        <v>46112</v>
      </c>
    </row>
    <row r="66" spans="1:2">
      <c r="A66" s="72" t="s">
        <v>285</v>
      </c>
      <c r="B66" s="70">
        <v>46112</v>
      </c>
    </row>
    <row r="67" spans="1:2">
      <c r="A67" s="72" t="s">
        <v>286</v>
      </c>
      <c r="B67" s="70">
        <v>46094</v>
      </c>
    </row>
  </sheetData>
  <mergeCells count="1">
    <mergeCell ref="A1:B1"/>
  </mergeCells>
  <pageMargins left="0.75" right="0.75" top="1" bottom="1" header="0.5" footer="0.5"/>
  <headerFooter/>
  <ignoredErrors>
    <ignoredError sqref="B8:B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6"/>
  <sheetViews>
    <sheetView workbookViewId="0">
      <selection activeCell="AE2" sqref="AE$1:EO$1048576"/>
    </sheetView>
  </sheetViews>
  <sheetFormatPr defaultColWidth="9.14285714285714" defaultRowHeight="15"/>
  <cols>
    <col min="1" max="1" width="20.1428571428571" customWidth="1"/>
    <col min="9" max="9" width="12.8571428571429" customWidth="1"/>
    <col min="10" max="10" width="3.71428571428571" customWidth="1"/>
    <col min="19" max="19" width="10.5714285714286" customWidth="1"/>
    <col min="29" max="29" width="11.1428571428571" customWidth="1"/>
  </cols>
  <sheetData>
    <row r="1" spans="1:28">
      <c r="A1" s="29" t="s">
        <v>167</v>
      </c>
      <c r="B1" s="2"/>
      <c r="C1" s="2"/>
      <c r="D1" s="2"/>
      <c r="E1" s="2"/>
      <c r="F1" s="2"/>
      <c r="G1" s="2"/>
      <c r="H1" s="3"/>
      <c r="K1" s="29" t="s">
        <v>287</v>
      </c>
      <c r="L1" s="2"/>
      <c r="M1" s="2"/>
      <c r="N1" s="2"/>
      <c r="O1" s="2"/>
      <c r="P1" s="2"/>
      <c r="Q1" s="2"/>
      <c r="R1" s="3"/>
      <c r="U1" s="29" t="s">
        <v>288</v>
      </c>
      <c r="V1" s="2"/>
      <c r="W1" s="2"/>
      <c r="X1" s="2"/>
      <c r="Y1" s="2"/>
      <c r="Z1" s="2"/>
      <c r="AA1" s="2"/>
      <c r="AB1" s="3"/>
    </row>
    <row r="2" ht="38.25" customHeight="1" spans="1:28">
      <c r="A2" s="40" t="s">
        <v>289</v>
      </c>
      <c r="B2" s="31" t="s">
        <v>290</v>
      </c>
      <c r="C2" s="32" t="s">
        <v>291</v>
      </c>
      <c r="D2" s="33" t="s">
        <v>292</v>
      </c>
      <c r="E2" s="32" t="s">
        <v>293</v>
      </c>
      <c r="F2" s="32" t="s">
        <v>294</v>
      </c>
      <c r="G2" s="32" t="s">
        <v>295</v>
      </c>
      <c r="H2" s="31" t="s">
        <v>296</v>
      </c>
      <c r="K2" s="40" t="s">
        <v>289</v>
      </c>
      <c r="L2" s="31" t="s">
        <v>290</v>
      </c>
      <c r="M2" s="32" t="s">
        <v>291</v>
      </c>
      <c r="N2" s="33" t="s">
        <v>292</v>
      </c>
      <c r="O2" s="32" t="s">
        <v>293</v>
      </c>
      <c r="P2" s="32" t="s">
        <v>294</v>
      </c>
      <c r="Q2" s="32" t="s">
        <v>295</v>
      </c>
      <c r="R2" s="31" t="s">
        <v>296</v>
      </c>
      <c r="U2" s="4" t="s">
        <v>289</v>
      </c>
      <c r="V2" s="5" t="s">
        <v>290</v>
      </c>
      <c r="W2" s="6" t="s">
        <v>291</v>
      </c>
      <c r="X2" s="7" t="s">
        <v>292</v>
      </c>
      <c r="Y2" s="6" t="s">
        <v>293</v>
      </c>
      <c r="Z2" s="6" t="s">
        <v>294</v>
      </c>
      <c r="AA2" s="6" t="s">
        <v>295</v>
      </c>
      <c r="AB2" s="8" t="s">
        <v>296</v>
      </c>
    </row>
    <row r="3" spans="1:28">
      <c r="A3" s="12" t="s">
        <v>297</v>
      </c>
      <c r="B3" s="12">
        <v>21</v>
      </c>
      <c r="C3" s="15">
        <v>0</v>
      </c>
      <c r="D3" s="14">
        <v>21</v>
      </c>
      <c r="E3" s="17">
        <v>5</v>
      </c>
      <c r="F3" s="15">
        <v>0</v>
      </c>
      <c r="G3" s="15">
        <v>0</v>
      </c>
      <c r="H3" s="14">
        <v>16</v>
      </c>
      <c r="K3" s="12" t="s">
        <v>297</v>
      </c>
      <c r="L3" s="12">
        <v>21</v>
      </c>
      <c r="M3" s="15">
        <v>0</v>
      </c>
      <c r="N3" s="14">
        <v>21</v>
      </c>
      <c r="O3" s="14">
        <v>2</v>
      </c>
      <c r="P3" s="15">
        <v>0</v>
      </c>
      <c r="Q3" s="15">
        <v>0</v>
      </c>
      <c r="R3" s="14">
        <v>19</v>
      </c>
      <c r="U3" s="12" t="s">
        <v>297</v>
      </c>
      <c r="V3" s="12">
        <v>21</v>
      </c>
      <c r="W3" s="15">
        <v>1</v>
      </c>
      <c r="X3" s="14">
        <v>20</v>
      </c>
      <c r="Y3" s="17">
        <v>8</v>
      </c>
      <c r="Z3" s="15">
        <v>0</v>
      </c>
      <c r="AA3" s="15">
        <v>0</v>
      </c>
      <c r="AB3" s="14">
        <v>12</v>
      </c>
    </row>
    <row r="4" spans="1:28">
      <c r="A4" s="34" t="s">
        <v>298</v>
      </c>
      <c r="B4" s="12">
        <v>21</v>
      </c>
      <c r="C4" s="15">
        <v>0</v>
      </c>
      <c r="D4" s="14">
        <v>21</v>
      </c>
      <c r="E4" s="14">
        <v>0</v>
      </c>
      <c r="F4" s="15">
        <v>0</v>
      </c>
      <c r="G4" s="15">
        <v>0</v>
      </c>
      <c r="H4" s="14">
        <v>21</v>
      </c>
      <c r="K4" s="34" t="s">
        <v>298</v>
      </c>
      <c r="L4" s="12">
        <v>21</v>
      </c>
      <c r="M4" s="15">
        <v>0</v>
      </c>
      <c r="N4" s="14">
        <v>21</v>
      </c>
      <c r="O4" s="14">
        <v>0</v>
      </c>
      <c r="P4" s="15">
        <v>0</v>
      </c>
      <c r="Q4" s="15">
        <v>0</v>
      </c>
      <c r="R4" s="14">
        <v>21</v>
      </c>
      <c r="U4" s="34" t="s">
        <v>298</v>
      </c>
      <c r="V4" s="12">
        <v>21</v>
      </c>
      <c r="W4" s="15">
        <v>0</v>
      </c>
      <c r="X4" s="14">
        <v>21</v>
      </c>
      <c r="Y4" s="14">
        <v>0</v>
      </c>
      <c r="Z4" s="15">
        <v>0</v>
      </c>
      <c r="AA4" s="15">
        <v>0</v>
      </c>
      <c r="AB4" s="14">
        <v>21</v>
      </c>
    </row>
    <row r="5" spans="1:28">
      <c r="A5" s="52" t="s">
        <v>299</v>
      </c>
      <c r="B5" s="12">
        <v>21</v>
      </c>
      <c r="C5" s="15">
        <v>2</v>
      </c>
      <c r="D5" s="14">
        <v>19</v>
      </c>
      <c r="E5" s="14">
        <v>4</v>
      </c>
      <c r="F5" s="15">
        <v>0</v>
      </c>
      <c r="G5" s="15">
        <v>0</v>
      </c>
      <c r="H5" s="14">
        <v>15</v>
      </c>
      <c r="K5" s="34" t="s">
        <v>299</v>
      </c>
      <c r="L5" s="12">
        <v>21</v>
      </c>
      <c r="M5" s="15">
        <v>2</v>
      </c>
      <c r="N5" s="14">
        <v>19</v>
      </c>
      <c r="O5" s="17">
        <v>7</v>
      </c>
      <c r="P5" s="15">
        <v>0</v>
      </c>
      <c r="Q5" s="15">
        <v>0</v>
      </c>
      <c r="R5" s="14">
        <v>12</v>
      </c>
      <c r="U5" s="12" t="s">
        <v>300</v>
      </c>
      <c r="V5" s="12">
        <v>21</v>
      </c>
      <c r="W5" s="15">
        <v>0</v>
      </c>
      <c r="X5" s="14">
        <v>21</v>
      </c>
      <c r="Y5" s="17">
        <v>8</v>
      </c>
      <c r="Z5" s="15">
        <v>0</v>
      </c>
      <c r="AA5" s="15">
        <v>0</v>
      </c>
      <c r="AB5" s="14">
        <v>13</v>
      </c>
    </row>
    <row r="6" spans="1:28">
      <c r="A6" s="12" t="s">
        <v>300</v>
      </c>
      <c r="B6" s="12">
        <v>21</v>
      </c>
      <c r="C6" s="15">
        <v>0</v>
      </c>
      <c r="D6" s="14">
        <v>21</v>
      </c>
      <c r="E6" s="14">
        <v>3</v>
      </c>
      <c r="F6" s="15">
        <v>0</v>
      </c>
      <c r="G6" s="15">
        <v>0</v>
      </c>
      <c r="H6" s="14">
        <v>18</v>
      </c>
      <c r="K6" s="12" t="s">
        <v>300</v>
      </c>
      <c r="L6" s="12">
        <v>21</v>
      </c>
      <c r="M6" s="13">
        <v>9</v>
      </c>
      <c r="N6" s="14">
        <v>12</v>
      </c>
      <c r="O6" s="14">
        <v>0</v>
      </c>
      <c r="P6" s="15">
        <v>0</v>
      </c>
      <c r="Q6" s="15">
        <v>0</v>
      </c>
      <c r="R6" s="14">
        <v>12</v>
      </c>
      <c r="U6" s="12" t="s">
        <v>301</v>
      </c>
      <c r="V6" s="12">
        <v>21</v>
      </c>
      <c r="W6" s="15">
        <v>0</v>
      </c>
      <c r="X6" s="14">
        <v>21</v>
      </c>
      <c r="Y6" s="14">
        <v>1</v>
      </c>
      <c r="Z6" s="15">
        <v>0</v>
      </c>
      <c r="AA6" s="15">
        <v>0</v>
      </c>
      <c r="AB6" s="14">
        <v>20</v>
      </c>
    </row>
    <row r="7" spans="1:28">
      <c r="A7" s="12" t="s">
        <v>280</v>
      </c>
      <c r="B7" s="12">
        <v>21</v>
      </c>
      <c r="C7" s="15">
        <v>0</v>
      </c>
      <c r="D7" s="14">
        <v>21</v>
      </c>
      <c r="E7" s="14">
        <v>0</v>
      </c>
      <c r="F7" s="15">
        <v>0</v>
      </c>
      <c r="G7" s="15">
        <v>0</v>
      </c>
      <c r="H7" s="14">
        <v>21</v>
      </c>
      <c r="K7" s="12" t="s">
        <v>302</v>
      </c>
      <c r="L7" s="12">
        <v>21</v>
      </c>
      <c r="M7" s="15">
        <v>1</v>
      </c>
      <c r="N7" s="14">
        <v>20</v>
      </c>
      <c r="O7" s="17">
        <v>17</v>
      </c>
      <c r="P7" s="15">
        <v>0</v>
      </c>
      <c r="Q7" s="15">
        <v>0</v>
      </c>
      <c r="R7" s="20">
        <v>3</v>
      </c>
      <c r="U7" s="12" t="s">
        <v>273</v>
      </c>
      <c r="V7" s="12">
        <v>21</v>
      </c>
      <c r="W7" s="15">
        <v>0</v>
      </c>
      <c r="X7" s="14">
        <v>21</v>
      </c>
      <c r="Y7" s="17">
        <v>7</v>
      </c>
      <c r="Z7" s="15">
        <v>0</v>
      </c>
      <c r="AA7" s="15">
        <v>0</v>
      </c>
      <c r="AB7" s="14">
        <v>14</v>
      </c>
    </row>
    <row r="8" spans="1:28">
      <c r="A8" s="12" t="s">
        <v>302</v>
      </c>
      <c r="B8" s="12">
        <v>21</v>
      </c>
      <c r="C8" s="15">
        <v>1</v>
      </c>
      <c r="D8" s="14">
        <v>20</v>
      </c>
      <c r="E8" s="17">
        <v>21</v>
      </c>
      <c r="F8" s="15">
        <v>0</v>
      </c>
      <c r="G8" s="15">
        <v>0</v>
      </c>
      <c r="H8" s="20">
        <v>-1</v>
      </c>
      <c r="K8" s="12" t="s">
        <v>273</v>
      </c>
      <c r="L8" s="12">
        <v>21</v>
      </c>
      <c r="M8" s="15">
        <v>2</v>
      </c>
      <c r="N8" s="14">
        <v>19</v>
      </c>
      <c r="O8" s="14">
        <v>3</v>
      </c>
      <c r="P8" s="15">
        <v>0</v>
      </c>
      <c r="Q8" s="15">
        <v>0</v>
      </c>
      <c r="R8" s="14">
        <v>16</v>
      </c>
      <c r="U8" s="12" t="s">
        <v>303</v>
      </c>
      <c r="V8" s="12">
        <v>21</v>
      </c>
      <c r="W8" s="15">
        <v>0</v>
      </c>
      <c r="X8" s="14">
        <v>21</v>
      </c>
      <c r="Y8" s="14">
        <v>0</v>
      </c>
      <c r="Z8" s="15">
        <v>0</v>
      </c>
      <c r="AA8" s="15">
        <v>0</v>
      </c>
      <c r="AB8" s="14">
        <v>21</v>
      </c>
    </row>
    <row r="9" spans="1:28">
      <c r="A9" s="12" t="s">
        <v>273</v>
      </c>
      <c r="B9" s="12">
        <v>21</v>
      </c>
      <c r="C9" s="15">
        <v>0</v>
      </c>
      <c r="D9" s="14">
        <v>21</v>
      </c>
      <c r="E9" s="17">
        <v>12</v>
      </c>
      <c r="F9" s="15">
        <v>0</v>
      </c>
      <c r="G9" s="15">
        <v>0</v>
      </c>
      <c r="H9" s="14">
        <v>9</v>
      </c>
      <c r="K9" s="12" t="s">
        <v>303</v>
      </c>
      <c r="L9" s="12">
        <v>21</v>
      </c>
      <c r="M9" s="13">
        <v>4</v>
      </c>
      <c r="N9" s="14">
        <v>17</v>
      </c>
      <c r="O9" s="14">
        <v>3</v>
      </c>
      <c r="P9" s="15">
        <v>0</v>
      </c>
      <c r="Q9" s="15">
        <v>0</v>
      </c>
      <c r="R9" s="14">
        <v>14</v>
      </c>
      <c r="U9" s="12" t="s">
        <v>304</v>
      </c>
      <c r="V9" s="12">
        <v>21</v>
      </c>
      <c r="W9" s="15">
        <v>0</v>
      </c>
      <c r="X9" s="14">
        <v>21</v>
      </c>
      <c r="Y9" s="17">
        <v>8</v>
      </c>
      <c r="Z9" s="15">
        <v>0</v>
      </c>
      <c r="AA9" s="15">
        <v>0</v>
      </c>
      <c r="AB9" s="14">
        <v>13</v>
      </c>
    </row>
    <row r="10" spans="1:28">
      <c r="A10" s="12" t="s">
        <v>303</v>
      </c>
      <c r="B10" s="12">
        <v>21</v>
      </c>
      <c r="C10" s="15">
        <v>0</v>
      </c>
      <c r="D10" s="14">
        <v>21</v>
      </c>
      <c r="E10" s="17">
        <v>15</v>
      </c>
      <c r="F10" s="15">
        <v>0</v>
      </c>
      <c r="G10" s="15">
        <v>0</v>
      </c>
      <c r="H10" s="20">
        <v>6</v>
      </c>
      <c r="K10" s="12" t="s">
        <v>305</v>
      </c>
      <c r="L10" s="12">
        <v>21</v>
      </c>
      <c r="M10" s="15">
        <v>0</v>
      </c>
      <c r="N10" s="14">
        <v>21</v>
      </c>
      <c r="O10" s="14">
        <v>0</v>
      </c>
      <c r="P10" s="15">
        <v>0</v>
      </c>
      <c r="Q10" s="15">
        <v>0</v>
      </c>
      <c r="R10" s="14">
        <v>21</v>
      </c>
      <c r="U10" s="12" t="s">
        <v>305</v>
      </c>
      <c r="V10" s="12">
        <v>21</v>
      </c>
      <c r="W10" s="15">
        <v>0</v>
      </c>
      <c r="X10" s="14">
        <v>21</v>
      </c>
      <c r="Y10" s="17">
        <v>7</v>
      </c>
      <c r="Z10" s="15">
        <v>0</v>
      </c>
      <c r="AA10" s="15">
        <v>0</v>
      </c>
      <c r="AB10" s="14">
        <v>14</v>
      </c>
    </row>
    <row r="11" spans="1:28">
      <c r="A11" s="12" t="s">
        <v>305</v>
      </c>
      <c r="B11" s="12">
        <v>21</v>
      </c>
      <c r="C11" s="15">
        <v>0</v>
      </c>
      <c r="D11" s="14">
        <v>21</v>
      </c>
      <c r="E11" s="17">
        <v>12</v>
      </c>
      <c r="F11" s="15">
        <v>0</v>
      </c>
      <c r="G11" s="15">
        <v>0</v>
      </c>
      <c r="H11" s="14">
        <v>9</v>
      </c>
      <c r="K11" s="12" t="s">
        <v>285</v>
      </c>
      <c r="L11" s="12">
        <v>21</v>
      </c>
      <c r="M11" s="13">
        <v>3</v>
      </c>
      <c r="N11" s="14">
        <v>18</v>
      </c>
      <c r="O11" s="17">
        <v>9</v>
      </c>
      <c r="P11" s="15">
        <v>0</v>
      </c>
      <c r="Q11" s="15">
        <v>0</v>
      </c>
      <c r="R11" s="14">
        <v>9</v>
      </c>
      <c r="U11" s="12" t="s">
        <v>285</v>
      </c>
      <c r="V11" s="12">
        <v>21</v>
      </c>
      <c r="W11" s="15">
        <v>0</v>
      </c>
      <c r="X11" s="14">
        <v>21</v>
      </c>
      <c r="Y11" s="14">
        <v>2</v>
      </c>
      <c r="Z11" s="15">
        <v>0</v>
      </c>
      <c r="AA11" s="15">
        <v>0</v>
      </c>
      <c r="AB11" s="14">
        <v>19</v>
      </c>
    </row>
    <row r="12" spans="1:28">
      <c r="A12" s="12" t="s">
        <v>285</v>
      </c>
      <c r="B12" s="12">
        <v>21</v>
      </c>
      <c r="C12" s="13">
        <v>9</v>
      </c>
      <c r="D12" s="14">
        <v>12</v>
      </c>
      <c r="E12" s="17">
        <v>10</v>
      </c>
      <c r="F12" s="15">
        <v>0</v>
      </c>
      <c r="G12" s="15">
        <v>0</v>
      </c>
      <c r="H12" s="20">
        <v>2</v>
      </c>
      <c r="K12" s="12" t="s">
        <v>306</v>
      </c>
      <c r="L12" s="12">
        <v>21</v>
      </c>
      <c r="M12" s="15">
        <v>1</v>
      </c>
      <c r="N12" s="14">
        <v>20</v>
      </c>
      <c r="O12" s="14">
        <v>1</v>
      </c>
      <c r="P12" s="15">
        <v>0</v>
      </c>
      <c r="Q12" s="15">
        <v>0</v>
      </c>
      <c r="R12" s="14">
        <v>19</v>
      </c>
      <c r="U12" s="12" t="s">
        <v>306</v>
      </c>
      <c r="V12" s="12">
        <v>21</v>
      </c>
      <c r="W12" s="15">
        <v>0</v>
      </c>
      <c r="X12" s="14">
        <v>21</v>
      </c>
      <c r="Y12" s="14">
        <v>1</v>
      </c>
      <c r="Z12" s="15">
        <v>0</v>
      </c>
      <c r="AA12" s="15">
        <v>0</v>
      </c>
      <c r="AB12" s="14">
        <v>20</v>
      </c>
    </row>
    <row r="13" spans="1:28">
      <c r="A13" s="12" t="s">
        <v>306</v>
      </c>
      <c r="B13" s="12">
        <v>21</v>
      </c>
      <c r="C13" s="15">
        <v>0</v>
      </c>
      <c r="D13" s="14">
        <v>21</v>
      </c>
      <c r="E13" s="14">
        <v>1</v>
      </c>
      <c r="F13" s="15">
        <v>0</v>
      </c>
      <c r="G13" s="15">
        <v>0</v>
      </c>
      <c r="H13" s="14">
        <v>20</v>
      </c>
      <c r="K13" s="12" t="s">
        <v>275</v>
      </c>
      <c r="L13" s="12">
        <v>21</v>
      </c>
      <c r="M13" s="15">
        <v>0</v>
      </c>
      <c r="N13" s="14">
        <v>21</v>
      </c>
      <c r="O13" s="17">
        <v>6</v>
      </c>
      <c r="P13" s="15">
        <v>0</v>
      </c>
      <c r="Q13" s="15">
        <v>0</v>
      </c>
      <c r="R13" s="14">
        <v>15</v>
      </c>
      <c r="U13" s="12" t="s">
        <v>275</v>
      </c>
      <c r="V13" s="12">
        <v>21</v>
      </c>
      <c r="W13" s="15">
        <v>0</v>
      </c>
      <c r="X13" s="14">
        <v>21</v>
      </c>
      <c r="Y13" s="17">
        <v>8</v>
      </c>
      <c r="Z13" s="15">
        <v>0</v>
      </c>
      <c r="AA13" s="15">
        <v>0</v>
      </c>
      <c r="AB13" s="14">
        <v>13</v>
      </c>
    </row>
    <row r="14" spans="1:28">
      <c r="A14" s="12" t="s">
        <v>275</v>
      </c>
      <c r="B14" s="12">
        <v>21</v>
      </c>
      <c r="C14" s="15">
        <v>0</v>
      </c>
      <c r="D14" s="14">
        <v>21</v>
      </c>
      <c r="E14" s="17">
        <v>9</v>
      </c>
      <c r="F14" s="15">
        <v>0</v>
      </c>
      <c r="G14" s="15">
        <v>0</v>
      </c>
      <c r="H14" s="14">
        <v>12</v>
      </c>
      <c r="K14" s="12" t="s">
        <v>307</v>
      </c>
      <c r="L14" s="12">
        <v>21</v>
      </c>
      <c r="M14" s="13">
        <v>3</v>
      </c>
      <c r="N14" s="14">
        <v>18</v>
      </c>
      <c r="O14" s="14">
        <v>2</v>
      </c>
      <c r="P14" s="15">
        <v>0</v>
      </c>
      <c r="Q14" s="15">
        <v>0</v>
      </c>
      <c r="R14" s="14">
        <v>16</v>
      </c>
      <c r="U14" s="12" t="s">
        <v>307</v>
      </c>
      <c r="V14" s="12">
        <v>21</v>
      </c>
      <c r="W14" s="15">
        <v>0</v>
      </c>
      <c r="X14" s="14">
        <v>21</v>
      </c>
      <c r="Y14" s="14">
        <v>1</v>
      </c>
      <c r="Z14" s="15">
        <v>0</v>
      </c>
      <c r="AA14" s="15">
        <v>0</v>
      </c>
      <c r="AB14" s="14">
        <v>20</v>
      </c>
    </row>
    <row r="15" spans="1:28">
      <c r="A15" s="12" t="s">
        <v>307</v>
      </c>
      <c r="B15" s="12">
        <v>21</v>
      </c>
      <c r="C15" s="15">
        <v>1</v>
      </c>
      <c r="D15" s="14">
        <v>20</v>
      </c>
      <c r="E15" s="14">
        <v>1</v>
      </c>
      <c r="F15" s="15">
        <v>0</v>
      </c>
      <c r="G15" s="15">
        <v>0</v>
      </c>
      <c r="H15" s="14">
        <v>19</v>
      </c>
      <c r="K15" s="12" t="s">
        <v>308</v>
      </c>
      <c r="L15" s="12">
        <v>21</v>
      </c>
      <c r="M15" s="15">
        <v>0</v>
      </c>
      <c r="N15" s="14">
        <v>21</v>
      </c>
      <c r="O15" s="14">
        <v>2</v>
      </c>
      <c r="P15" s="15">
        <v>0</v>
      </c>
      <c r="Q15" s="15">
        <v>0</v>
      </c>
      <c r="R15" s="14">
        <v>19</v>
      </c>
      <c r="U15" s="12" t="s">
        <v>308</v>
      </c>
      <c r="V15" s="12">
        <v>21</v>
      </c>
      <c r="W15" s="15">
        <v>2</v>
      </c>
      <c r="X15" s="14">
        <v>19</v>
      </c>
      <c r="Y15" s="14">
        <v>4</v>
      </c>
      <c r="Z15" s="15">
        <v>0</v>
      </c>
      <c r="AA15" s="15">
        <v>0</v>
      </c>
      <c r="AB15" s="14">
        <v>15</v>
      </c>
    </row>
    <row r="16" spans="1:28">
      <c r="A16" s="12" t="s">
        <v>308</v>
      </c>
      <c r="B16" s="12">
        <v>21</v>
      </c>
      <c r="C16" s="15">
        <v>2</v>
      </c>
      <c r="D16" s="14">
        <v>19</v>
      </c>
      <c r="E16" s="17">
        <v>8</v>
      </c>
      <c r="F16" s="15">
        <v>0</v>
      </c>
      <c r="G16" s="15">
        <v>0</v>
      </c>
      <c r="H16" s="14">
        <v>11</v>
      </c>
      <c r="K16" s="12" t="s">
        <v>309</v>
      </c>
      <c r="L16" s="12">
        <v>21</v>
      </c>
      <c r="M16" s="15">
        <v>0</v>
      </c>
      <c r="N16" s="14">
        <v>21</v>
      </c>
      <c r="O16" s="14">
        <v>0</v>
      </c>
      <c r="P16" s="15">
        <v>0</v>
      </c>
      <c r="Q16" s="15">
        <v>0</v>
      </c>
      <c r="R16" s="14">
        <v>21</v>
      </c>
      <c r="U16" s="12" t="s">
        <v>309</v>
      </c>
      <c r="V16" s="12">
        <v>21</v>
      </c>
      <c r="W16" s="15">
        <v>0</v>
      </c>
      <c r="X16" s="14">
        <v>21</v>
      </c>
      <c r="Y16" s="14">
        <v>3</v>
      </c>
      <c r="Z16" s="15">
        <v>0</v>
      </c>
      <c r="AA16" s="15">
        <v>0</v>
      </c>
      <c r="AB16" s="14">
        <v>18</v>
      </c>
    </row>
    <row r="17" spans="1:28">
      <c r="A17" s="12" t="s">
        <v>309</v>
      </c>
      <c r="B17" s="12">
        <v>21</v>
      </c>
      <c r="C17" s="15">
        <v>0</v>
      </c>
      <c r="D17" s="14">
        <v>21</v>
      </c>
      <c r="E17" s="14">
        <v>2</v>
      </c>
      <c r="F17" s="15">
        <v>0</v>
      </c>
      <c r="G17" s="15">
        <v>0</v>
      </c>
      <c r="H17" s="14">
        <v>19</v>
      </c>
      <c r="K17" s="12" t="s">
        <v>310</v>
      </c>
      <c r="L17" s="12">
        <v>21</v>
      </c>
      <c r="M17" s="15">
        <v>0</v>
      </c>
      <c r="N17" s="14">
        <v>21</v>
      </c>
      <c r="O17" s="14">
        <v>0</v>
      </c>
      <c r="P17" s="15">
        <v>0</v>
      </c>
      <c r="Q17" s="15">
        <v>0</v>
      </c>
      <c r="R17" s="14">
        <v>21</v>
      </c>
      <c r="U17" s="12" t="s">
        <v>310</v>
      </c>
      <c r="V17" s="12">
        <v>21</v>
      </c>
      <c r="W17" s="15">
        <v>1</v>
      </c>
      <c r="X17" s="14">
        <v>20</v>
      </c>
      <c r="Y17" s="14">
        <v>2</v>
      </c>
      <c r="Z17" s="15">
        <v>0</v>
      </c>
      <c r="AA17" s="15">
        <v>0</v>
      </c>
      <c r="AB17" s="14">
        <v>18</v>
      </c>
    </row>
    <row r="18" spans="1:28">
      <c r="A18" s="12" t="s">
        <v>310</v>
      </c>
      <c r="B18" s="12">
        <v>21</v>
      </c>
      <c r="C18" s="15">
        <v>1</v>
      </c>
      <c r="D18" s="14">
        <v>20</v>
      </c>
      <c r="E18" s="14">
        <v>2</v>
      </c>
      <c r="F18" s="15">
        <v>0</v>
      </c>
      <c r="G18" s="15">
        <v>0</v>
      </c>
      <c r="H18" s="14">
        <v>18</v>
      </c>
      <c r="K18" s="12" t="s">
        <v>311</v>
      </c>
      <c r="L18" s="12">
        <v>21</v>
      </c>
      <c r="M18" s="15">
        <v>0</v>
      </c>
      <c r="N18" s="14">
        <v>21</v>
      </c>
      <c r="O18" s="17">
        <v>20</v>
      </c>
      <c r="P18" s="15">
        <v>0</v>
      </c>
      <c r="Q18" s="15">
        <v>0</v>
      </c>
      <c r="R18" s="20">
        <v>1</v>
      </c>
      <c r="U18" s="12" t="s">
        <v>311</v>
      </c>
      <c r="V18" s="12">
        <v>21</v>
      </c>
      <c r="W18" s="15">
        <v>0</v>
      </c>
      <c r="X18" s="14">
        <v>21</v>
      </c>
      <c r="Y18" s="17">
        <v>8</v>
      </c>
      <c r="Z18" s="15">
        <v>0</v>
      </c>
      <c r="AA18" s="15">
        <v>0</v>
      </c>
      <c r="AB18" s="14">
        <v>13</v>
      </c>
    </row>
    <row r="19" spans="1:28">
      <c r="A19" s="12" t="s">
        <v>311</v>
      </c>
      <c r="B19" s="12">
        <v>21</v>
      </c>
      <c r="C19" s="15">
        <v>0</v>
      </c>
      <c r="D19" s="14">
        <v>21</v>
      </c>
      <c r="E19" s="17">
        <v>18</v>
      </c>
      <c r="F19" s="15">
        <v>0</v>
      </c>
      <c r="G19" s="15">
        <v>0</v>
      </c>
      <c r="H19" s="20">
        <v>3</v>
      </c>
      <c r="K19" s="12" t="s">
        <v>312</v>
      </c>
      <c r="L19" s="12">
        <v>21</v>
      </c>
      <c r="M19" s="15">
        <v>0</v>
      </c>
      <c r="N19" s="14">
        <v>21</v>
      </c>
      <c r="O19" s="17">
        <v>8</v>
      </c>
      <c r="P19" s="15">
        <v>0</v>
      </c>
      <c r="Q19" s="15">
        <v>0</v>
      </c>
      <c r="R19" s="14">
        <v>13</v>
      </c>
      <c r="U19" s="12" t="s">
        <v>312</v>
      </c>
      <c r="V19" s="12">
        <v>21</v>
      </c>
      <c r="W19" s="15">
        <v>0</v>
      </c>
      <c r="X19" s="14">
        <v>21</v>
      </c>
      <c r="Y19" s="14">
        <v>0</v>
      </c>
      <c r="Z19" s="15">
        <v>0</v>
      </c>
      <c r="AA19" s="15">
        <v>0</v>
      </c>
      <c r="AB19" s="14">
        <v>21</v>
      </c>
    </row>
    <row r="20" spans="1:28">
      <c r="A20" s="12" t="s">
        <v>312</v>
      </c>
      <c r="B20" s="12">
        <v>21</v>
      </c>
      <c r="C20" s="15">
        <v>0</v>
      </c>
      <c r="D20" s="14">
        <v>21</v>
      </c>
      <c r="E20" s="17">
        <v>13</v>
      </c>
      <c r="F20" s="15">
        <v>0</v>
      </c>
      <c r="G20" s="15">
        <v>0</v>
      </c>
      <c r="H20" s="20">
        <v>8</v>
      </c>
      <c r="K20" s="12" t="s">
        <v>313</v>
      </c>
      <c r="L20" s="12">
        <v>21</v>
      </c>
      <c r="M20" s="15">
        <v>0</v>
      </c>
      <c r="N20" s="14">
        <v>21</v>
      </c>
      <c r="O20" s="14">
        <v>4</v>
      </c>
      <c r="P20" s="15">
        <v>0</v>
      </c>
      <c r="Q20" s="15">
        <v>0</v>
      </c>
      <c r="R20" s="14">
        <v>17</v>
      </c>
      <c r="U20" s="12" t="s">
        <v>313</v>
      </c>
      <c r="V20" s="12">
        <v>21</v>
      </c>
      <c r="W20" s="15">
        <v>0</v>
      </c>
      <c r="X20" s="14">
        <v>21</v>
      </c>
      <c r="Y20" s="17">
        <v>5</v>
      </c>
      <c r="Z20" s="15">
        <v>0</v>
      </c>
      <c r="AA20" s="15">
        <v>0</v>
      </c>
      <c r="AB20" s="14">
        <v>16</v>
      </c>
    </row>
    <row r="21" spans="1:28">
      <c r="A21" s="12" t="s">
        <v>313</v>
      </c>
      <c r="B21" s="12">
        <v>21</v>
      </c>
      <c r="C21" s="13">
        <v>3</v>
      </c>
      <c r="D21" s="14">
        <v>18</v>
      </c>
      <c r="E21" s="17">
        <v>8</v>
      </c>
      <c r="F21" s="15">
        <v>0</v>
      </c>
      <c r="G21" s="15">
        <v>0</v>
      </c>
      <c r="H21" s="14">
        <v>10</v>
      </c>
      <c r="K21" s="12" t="s">
        <v>314</v>
      </c>
      <c r="L21" s="12">
        <v>21</v>
      </c>
      <c r="M21" s="15">
        <v>0</v>
      </c>
      <c r="N21" s="14">
        <v>21</v>
      </c>
      <c r="O21" s="14">
        <v>4</v>
      </c>
      <c r="P21" s="15">
        <v>0</v>
      </c>
      <c r="Q21" s="15">
        <v>0</v>
      </c>
      <c r="R21" s="14">
        <v>17</v>
      </c>
      <c r="U21" s="12" t="s">
        <v>314</v>
      </c>
      <c r="V21" s="12">
        <v>21</v>
      </c>
      <c r="W21" s="15">
        <v>1</v>
      </c>
      <c r="X21" s="14">
        <v>20</v>
      </c>
      <c r="Y21" s="14">
        <v>3</v>
      </c>
      <c r="Z21" s="15">
        <v>0</v>
      </c>
      <c r="AA21" s="15">
        <v>0</v>
      </c>
      <c r="AB21" s="14">
        <v>17</v>
      </c>
    </row>
    <row r="22" spans="1:28">
      <c r="A22" s="12" t="s">
        <v>314</v>
      </c>
      <c r="B22" s="12">
        <v>21</v>
      </c>
      <c r="C22" s="15">
        <v>0</v>
      </c>
      <c r="D22" s="14">
        <v>21</v>
      </c>
      <c r="E22" s="17">
        <v>11</v>
      </c>
      <c r="F22" s="15">
        <v>0</v>
      </c>
      <c r="G22" s="15">
        <v>0</v>
      </c>
      <c r="H22" s="14">
        <v>10</v>
      </c>
      <c r="K22" s="12" t="s">
        <v>315</v>
      </c>
      <c r="L22" s="12">
        <v>21</v>
      </c>
      <c r="M22" s="13">
        <v>3</v>
      </c>
      <c r="N22" s="14">
        <v>18</v>
      </c>
      <c r="O22" s="14">
        <v>4</v>
      </c>
      <c r="P22" s="15">
        <v>0</v>
      </c>
      <c r="Q22" s="15">
        <v>0</v>
      </c>
      <c r="R22" s="14">
        <v>14</v>
      </c>
      <c r="U22" s="12" t="s">
        <v>315</v>
      </c>
      <c r="V22" s="12">
        <v>21</v>
      </c>
      <c r="W22" s="15">
        <v>1</v>
      </c>
      <c r="X22" s="14">
        <v>20</v>
      </c>
      <c r="Y22" s="14">
        <v>3</v>
      </c>
      <c r="Z22" s="15">
        <v>0</v>
      </c>
      <c r="AA22" s="15">
        <v>0</v>
      </c>
      <c r="AB22" s="14">
        <v>17</v>
      </c>
    </row>
    <row r="23" spans="1:28">
      <c r="A23" s="12" t="s">
        <v>315</v>
      </c>
      <c r="B23" s="12">
        <v>21</v>
      </c>
      <c r="C23" s="15">
        <v>1</v>
      </c>
      <c r="D23" s="14">
        <v>20</v>
      </c>
      <c r="E23" s="17">
        <v>10</v>
      </c>
      <c r="F23" s="15">
        <v>0</v>
      </c>
      <c r="G23" s="15">
        <v>0</v>
      </c>
      <c r="H23" s="14">
        <v>10</v>
      </c>
      <c r="K23" s="12" t="s">
        <v>316</v>
      </c>
      <c r="L23" s="12">
        <v>21</v>
      </c>
      <c r="M23" s="15">
        <v>0</v>
      </c>
      <c r="N23" s="14">
        <v>21</v>
      </c>
      <c r="O23" s="14">
        <v>1</v>
      </c>
      <c r="P23" s="15">
        <v>0</v>
      </c>
      <c r="Q23" s="15">
        <v>0</v>
      </c>
      <c r="R23" s="14">
        <v>20</v>
      </c>
      <c r="U23" s="12" t="s">
        <v>316</v>
      </c>
      <c r="V23" s="12">
        <v>21</v>
      </c>
      <c r="W23" s="15">
        <v>0</v>
      </c>
      <c r="X23" s="14">
        <v>21</v>
      </c>
      <c r="Y23" s="17">
        <v>6</v>
      </c>
      <c r="Z23" s="15">
        <v>0</v>
      </c>
      <c r="AA23" s="15">
        <v>0</v>
      </c>
      <c r="AB23" s="14">
        <v>15</v>
      </c>
    </row>
    <row r="24" spans="1:28">
      <c r="A24" s="12" t="s">
        <v>316</v>
      </c>
      <c r="B24" s="12">
        <v>21</v>
      </c>
      <c r="C24" s="15">
        <v>1</v>
      </c>
      <c r="D24" s="14">
        <v>20</v>
      </c>
      <c r="E24" s="17">
        <v>15</v>
      </c>
      <c r="F24" s="15">
        <v>0</v>
      </c>
      <c r="G24" s="15">
        <v>0</v>
      </c>
      <c r="H24" s="20">
        <v>5</v>
      </c>
      <c r="K24" s="43" t="s">
        <v>317</v>
      </c>
      <c r="L24" s="12">
        <v>21</v>
      </c>
      <c r="M24" s="15">
        <v>0</v>
      </c>
      <c r="N24" s="14">
        <v>21</v>
      </c>
      <c r="O24" s="14">
        <v>0</v>
      </c>
      <c r="P24" s="15">
        <v>0</v>
      </c>
      <c r="Q24" s="15">
        <v>0</v>
      </c>
      <c r="R24" s="14">
        <v>21</v>
      </c>
      <c r="U24" s="43" t="s">
        <v>317</v>
      </c>
      <c r="V24" s="12">
        <v>21</v>
      </c>
      <c r="W24" s="15">
        <v>0</v>
      </c>
      <c r="X24" s="14">
        <v>21</v>
      </c>
      <c r="Y24" s="14">
        <v>0</v>
      </c>
      <c r="Z24" s="15">
        <v>0</v>
      </c>
      <c r="AA24" s="15">
        <v>0</v>
      </c>
      <c r="AB24" s="14">
        <v>21</v>
      </c>
    </row>
    <row r="25" spans="1:28">
      <c r="A25" s="43" t="s">
        <v>317</v>
      </c>
      <c r="B25" s="12">
        <v>21</v>
      </c>
      <c r="C25" s="15">
        <v>0</v>
      </c>
      <c r="D25" s="14">
        <v>21</v>
      </c>
      <c r="E25" s="14">
        <v>0</v>
      </c>
      <c r="F25" s="15">
        <v>0</v>
      </c>
      <c r="G25" s="15">
        <v>0</v>
      </c>
      <c r="H25" s="14">
        <v>21</v>
      </c>
      <c r="K25" s="43" t="s">
        <v>318</v>
      </c>
      <c r="L25" s="12">
        <v>21</v>
      </c>
      <c r="M25" s="15">
        <v>0</v>
      </c>
      <c r="N25" s="14">
        <v>21</v>
      </c>
      <c r="O25" s="14">
        <v>4</v>
      </c>
      <c r="P25" s="15">
        <v>0</v>
      </c>
      <c r="Q25" s="15">
        <v>0</v>
      </c>
      <c r="R25" s="14">
        <v>17</v>
      </c>
      <c r="U25" s="43" t="s">
        <v>318</v>
      </c>
      <c r="V25" s="12">
        <v>21</v>
      </c>
      <c r="W25" s="15">
        <v>0</v>
      </c>
      <c r="X25" s="14">
        <v>21</v>
      </c>
      <c r="Y25" s="14">
        <v>0</v>
      </c>
      <c r="Z25" s="15">
        <v>0</v>
      </c>
      <c r="AA25" s="15">
        <v>0</v>
      </c>
      <c r="AB25" s="14">
        <v>21</v>
      </c>
    </row>
    <row r="26" spans="1:28">
      <c r="A26" s="12" t="s">
        <v>319</v>
      </c>
      <c r="B26" s="12">
        <v>21</v>
      </c>
      <c r="C26" s="15">
        <v>0</v>
      </c>
      <c r="D26" s="14">
        <v>21</v>
      </c>
      <c r="E26" s="14">
        <v>1</v>
      </c>
      <c r="F26" s="15">
        <v>0</v>
      </c>
      <c r="G26" s="15">
        <v>0</v>
      </c>
      <c r="H26" s="14">
        <v>20</v>
      </c>
      <c r="K26" s="43" t="s">
        <v>320</v>
      </c>
      <c r="L26" s="12">
        <v>21</v>
      </c>
      <c r="M26" s="15">
        <v>0</v>
      </c>
      <c r="N26" s="14">
        <v>21</v>
      </c>
      <c r="O26" s="17">
        <v>7</v>
      </c>
      <c r="P26" s="15">
        <v>0</v>
      </c>
      <c r="Q26" s="15">
        <v>0</v>
      </c>
      <c r="R26" s="14">
        <v>14</v>
      </c>
      <c r="U26" s="43" t="s">
        <v>320</v>
      </c>
      <c r="V26" s="12">
        <v>21</v>
      </c>
      <c r="W26" s="15">
        <v>0</v>
      </c>
      <c r="X26" s="14">
        <v>21</v>
      </c>
      <c r="Y26" s="17">
        <v>6</v>
      </c>
      <c r="Z26" s="15">
        <v>0</v>
      </c>
      <c r="AA26" s="15">
        <v>0</v>
      </c>
      <c r="AB26" s="14">
        <v>15</v>
      </c>
    </row>
    <row r="27" spans="1:28">
      <c r="A27" s="43" t="s">
        <v>318</v>
      </c>
      <c r="B27" s="12">
        <v>21</v>
      </c>
      <c r="C27" s="15">
        <v>1</v>
      </c>
      <c r="D27" s="14">
        <v>20</v>
      </c>
      <c r="E27" s="17">
        <v>17</v>
      </c>
      <c r="F27" s="15">
        <v>0</v>
      </c>
      <c r="G27" s="15">
        <v>0</v>
      </c>
      <c r="H27" s="20">
        <v>3</v>
      </c>
      <c r="K27" s="43" t="s">
        <v>321</v>
      </c>
      <c r="L27" s="12">
        <v>21</v>
      </c>
      <c r="M27" s="15">
        <v>0</v>
      </c>
      <c r="N27" s="14">
        <v>21</v>
      </c>
      <c r="O27" s="17">
        <v>19</v>
      </c>
      <c r="P27" s="15">
        <v>0</v>
      </c>
      <c r="Q27" s="15">
        <v>0</v>
      </c>
      <c r="R27" s="20">
        <v>2</v>
      </c>
      <c r="U27" s="43" t="s">
        <v>321</v>
      </c>
      <c r="V27" s="12">
        <v>21</v>
      </c>
      <c r="W27" s="15">
        <v>0</v>
      </c>
      <c r="X27" s="14">
        <v>21</v>
      </c>
      <c r="Y27" s="17">
        <v>16</v>
      </c>
      <c r="Z27" s="15">
        <v>0</v>
      </c>
      <c r="AA27" s="15">
        <v>0</v>
      </c>
      <c r="AB27" s="20">
        <v>5</v>
      </c>
    </row>
    <row r="28" spans="1:28">
      <c r="A28" s="43" t="s">
        <v>320</v>
      </c>
      <c r="B28" s="12">
        <v>21</v>
      </c>
      <c r="C28" s="15">
        <v>0</v>
      </c>
      <c r="D28" s="14">
        <v>21</v>
      </c>
      <c r="E28" s="17">
        <v>14</v>
      </c>
      <c r="F28" s="15">
        <v>0</v>
      </c>
      <c r="G28" s="15">
        <v>0</v>
      </c>
      <c r="H28" s="20">
        <v>7</v>
      </c>
      <c r="K28" s="12" t="s">
        <v>322</v>
      </c>
      <c r="L28" s="12">
        <v>21</v>
      </c>
      <c r="M28" s="15">
        <v>0</v>
      </c>
      <c r="N28" s="14">
        <v>21</v>
      </c>
      <c r="O28" s="14">
        <v>0</v>
      </c>
      <c r="P28" s="15">
        <v>0</v>
      </c>
      <c r="Q28" s="15">
        <v>0</v>
      </c>
      <c r="R28" s="14">
        <v>21</v>
      </c>
      <c r="U28" s="12" t="s">
        <v>322</v>
      </c>
      <c r="V28" s="12">
        <v>21</v>
      </c>
      <c r="W28" s="15">
        <v>0</v>
      </c>
      <c r="X28" s="14">
        <v>21</v>
      </c>
      <c r="Y28" s="14">
        <v>0</v>
      </c>
      <c r="Z28" s="15">
        <v>0</v>
      </c>
      <c r="AA28" s="15">
        <v>0</v>
      </c>
      <c r="AB28" s="14">
        <v>21</v>
      </c>
    </row>
    <row r="29" spans="1:28">
      <c r="A29" s="43" t="s">
        <v>323</v>
      </c>
      <c r="B29" s="12">
        <v>21</v>
      </c>
      <c r="C29" s="15">
        <v>0</v>
      </c>
      <c r="D29" s="14">
        <v>21</v>
      </c>
      <c r="E29" s="17">
        <v>17</v>
      </c>
      <c r="F29" s="15">
        <v>0</v>
      </c>
      <c r="G29" s="15">
        <v>0</v>
      </c>
      <c r="H29" s="20">
        <v>4</v>
      </c>
      <c r="K29" s="12" t="s">
        <v>324</v>
      </c>
      <c r="L29" s="12">
        <v>21</v>
      </c>
      <c r="M29" s="15">
        <v>0</v>
      </c>
      <c r="N29" s="14">
        <v>21</v>
      </c>
      <c r="O29" s="17">
        <v>17</v>
      </c>
      <c r="P29" s="15">
        <v>0</v>
      </c>
      <c r="Q29" s="15">
        <v>0</v>
      </c>
      <c r="R29" s="20">
        <v>4</v>
      </c>
      <c r="U29" s="12" t="s">
        <v>324</v>
      </c>
      <c r="V29" s="12">
        <v>21</v>
      </c>
      <c r="W29" s="15">
        <v>0</v>
      </c>
      <c r="X29" s="14">
        <v>21</v>
      </c>
      <c r="Y29" s="14">
        <v>0</v>
      </c>
      <c r="Z29" s="15">
        <v>0</v>
      </c>
      <c r="AA29" s="15">
        <v>0</v>
      </c>
      <c r="AB29" s="14">
        <v>21</v>
      </c>
    </row>
    <row r="30" spans="1:28">
      <c r="A30" s="43" t="s">
        <v>321</v>
      </c>
      <c r="B30" s="12">
        <v>21</v>
      </c>
      <c r="C30" s="15">
        <v>0</v>
      </c>
      <c r="D30" s="14">
        <v>21</v>
      </c>
      <c r="E30" s="17">
        <v>19</v>
      </c>
      <c r="F30" s="15">
        <v>0</v>
      </c>
      <c r="G30" s="15">
        <v>0</v>
      </c>
      <c r="H30" s="20">
        <v>2</v>
      </c>
      <c r="K30" s="43" t="s">
        <v>325</v>
      </c>
      <c r="L30" s="12">
        <v>21</v>
      </c>
      <c r="M30" s="15">
        <v>0</v>
      </c>
      <c r="N30" s="14">
        <v>21</v>
      </c>
      <c r="O30" s="17">
        <v>16</v>
      </c>
      <c r="P30" s="15">
        <v>0</v>
      </c>
      <c r="Q30" s="15">
        <v>0</v>
      </c>
      <c r="R30" s="20">
        <v>5</v>
      </c>
      <c r="U30" s="43" t="s">
        <v>326</v>
      </c>
      <c r="V30" s="12">
        <v>21</v>
      </c>
      <c r="W30" s="13">
        <v>3</v>
      </c>
      <c r="X30" s="14">
        <v>18</v>
      </c>
      <c r="Y30" s="17">
        <v>14</v>
      </c>
      <c r="Z30" s="15">
        <v>0</v>
      </c>
      <c r="AA30" s="15">
        <v>0</v>
      </c>
      <c r="AB30" s="20">
        <v>4</v>
      </c>
    </row>
    <row r="31" spans="1:28">
      <c r="A31" s="12" t="s">
        <v>322</v>
      </c>
      <c r="B31" s="12">
        <v>21</v>
      </c>
      <c r="C31" s="15">
        <v>0</v>
      </c>
      <c r="D31" s="14">
        <v>21</v>
      </c>
      <c r="E31" s="14">
        <v>0</v>
      </c>
      <c r="F31" s="15">
        <v>0</v>
      </c>
      <c r="G31" s="15">
        <v>0</v>
      </c>
      <c r="H31" s="14">
        <v>21</v>
      </c>
      <c r="K31" s="43" t="s">
        <v>327</v>
      </c>
      <c r="L31" s="12">
        <v>21</v>
      </c>
      <c r="M31" s="15">
        <v>0</v>
      </c>
      <c r="N31" s="14">
        <v>21</v>
      </c>
      <c r="O31" s="17">
        <v>9</v>
      </c>
      <c r="P31" s="15">
        <v>0</v>
      </c>
      <c r="Q31" s="15">
        <v>0</v>
      </c>
      <c r="R31" s="14">
        <v>12</v>
      </c>
      <c r="U31" s="43" t="s">
        <v>328</v>
      </c>
      <c r="V31" s="12">
        <v>21</v>
      </c>
      <c r="W31" s="15">
        <v>0</v>
      </c>
      <c r="X31" s="14">
        <v>21</v>
      </c>
      <c r="Y31" s="14">
        <v>4</v>
      </c>
      <c r="Z31" s="15">
        <v>0</v>
      </c>
      <c r="AA31" s="15">
        <v>0</v>
      </c>
      <c r="AB31" s="14">
        <v>17</v>
      </c>
    </row>
    <row r="32" spans="1:28">
      <c r="A32" s="12" t="s">
        <v>324</v>
      </c>
      <c r="B32" s="12">
        <v>21</v>
      </c>
      <c r="C32" s="15">
        <v>2</v>
      </c>
      <c r="D32" s="14">
        <v>19</v>
      </c>
      <c r="E32" s="17">
        <v>14</v>
      </c>
      <c r="F32" s="15">
        <v>0</v>
      </c>
      <c r="G32" s="15">
        <v>0</v>
      </c>
      <c r="H32" s="20">
        <v>5</v>
      </c>
      <c r="K32" s="43" t="s">
        <v>329</v>
      </c>
      <c r="L32" s="12">
        <v>21</v>
      </c>
      <c r="M32" s="15">
        <v>0</v>
      </c>
      <c r="N32" s="14">
        <v>21</v>
      </c>
      <c r="O32" s="17">
        <v>15</v>
      </c>
      <c r="P32" s="15">
        <v>0</v>
      </c>
      <c r="Q32" s="15">
        <v>0</v>
      </c>
      <c r="R32" s="20">
        <v>6</v>
      </c>
      <c r="U32" s="43" t="s">
        <v>329</v>
      </c>
      <c r="V32" s="12">
        <v>21</v>
      </c>
      <c r="W32" s="15">
        <v>1</v>
      </c>
      <c r="X32" s="14">
        <v>20</v>
      </c>
      <c r="Y32" s="17">
        <v>5</v>
      </c>
      <c r="Z32" s="15">
        <v>0</v>
      </c>
      <c r="AA32" s="15">
        <v>0</v>
      </c>
      <c r="AB32" s="14">
        <v>15</v>
      </c>
    </row>
    <row r="33" spans="1:28">
      <c r="A33" s="43" t="s">
        <v>330</v>
      </c>
      <c r="B33" s="12">
        <v>21</v>
      </c>
      <c r="C33" s="15">
        <v>0</v>
      </c>
      <c r="D33" s="14">
        <v>21</v>
      </c>
      <c r="E33" s="14">
        <v>1</v>
      </c>
      <c r="F33" s="15">
        <v>0</v>
      </c>
      <c r="G33" s="15">
        <v>0</v>
      </c>
      <c r="H33" s="14">
        <v>20</v>
      </c>
      <c r="K33" s="43" t="s">
        <v>328</v>
      </c>
      <c r="L33" s="12">
        <v>21</v>
      </c>
      <c r="M33" s="15">
        <v>0</v>
      </c>
      <c r="N33" s="14">
        <v>21</v>
      </c>
      <c r="O33" s="17">
        <v>20</v>
      </c>
      <c r="P33" s="15">
        <v>0</v>
      </c>
      <c r="Q33" s="15">
        <v>0</v>
      </c>
      <c r="R33" s="20">
        <v>1</v>
      </c>
      <c r="U33" s="43" t="s">
        <v>327</v>
      </c>
      <c r="V33" s="12">
        <v>21</v>
      </c>
      <c r="W33" s="15">
        <v>0</v>
      </c>
      <c r="X33" s="14">
        <v>21</v>
      </c>
      <c r="Y33" s="14">
        <v>0</v>
      </c>
      <c r="Z33" s="15">
        <v>0</v>
      </c>
      <c r="AA33" s="15">
        <v>0</v>
      </c>
      <c r="AB33" s="14">
        <v>21</v>
      </c>
    </row>
    <row r="34" spans="1:28">
      <c r="A34" s="43" t="s">
        <v>325</v>
      </c>
      <c r="B34" s="12">
        <v>21</v>
      </c>
      <c r="C34" s="15">
        <v>0</v>
      </c>
      <c r="D34" s="14">
        <v>21</v>
      </c>
      <c r="E34" s="17">
        <v>15</v>
      </c>
      <c r="F34" s="15">
        <v>0</v>
      </c>
      <c r="G34" s="15">
        <v>0</v>
      </c>
      <c r="H34" s="20">
        <v>6</v>
      </c>
      <c r="K34" s="43" t="s">
        <v>326</v>
      </c>
      <c r="L34" s="12">
        <v>21</v>
      </c>
      <c r="M34" s="15">
        <v>0</v>
      </c>
      <c r="N34" s="14">
        <v>21</v>
      </c>
      <c r="O34" s="17">
        <v>14</v>
      </c>
      <c r="P34" s="15">
        <v>0</v>
      </c>
      <c r="Q34" s="15">
        <v>0</v>
      </c>
      <c r="R34" s="20">
        <v>7</v>
      </c>
      <c r="U34" s="43" t="s">
        <v>325</v>
      </c>
      <c r="V34" s="12">
        <v>21</v>
      </c>
      <c r="W34" s="15">
        <v>0</v>
      </c>
      <c r="X34" s="14">
        <v>21</v>
      </c>
      <c r="Y34" s="17">
        <v>5</v>
      </c>
      <c r="Z34" s="15">
        <v>0</v>
      </c>
      <c r="AA34" s="15">
        <v>0</v>
      </c>
      <c r="AB34" s="14">
        <v>16</v>
      </c>
    </row>
    <row r="35" spans="1:8">
      <c r="A35" s="43" t="s">
        <v>327</v>
      </c>
      <c r="B35" s="12">
        <v>21</v>
      </c>
      <c r="C35" s="15">
        <v>0</v>
      </c>
      <c r="D35" s="14">
        <v>21</v>
      </c>
      <c r="E35" s="17">
        <v>18</v>
      </c>
      <c r="F35" s="15">
        <v>0</v>
      </c>
      <c r="G35" s="15">
        <v>0</v>
      </c>
      <c r="H35" s="20">
        <v>3</v>
      </c>
    </row>
    <row r="36" spans="1:8">
      <c r="A36" s="53" t="s">
        <v>331</v>
      </c>
      <c r="B36" s="12">
        <v>21</v>
      </c>
      <c r="C36" s="15">
        <v>0</v>
      </c>
      <c r="D36" s="14">
        <v>21</v>
      </c>
      <c r="E36" s="17">
        <v>20</v>
      </c>
      <c r="F36" s="15">
        <v>0</v>
      </c>
      <c r="G36" s="15">
        <v>0</v>
      </c>
      <c r="H36" s="20">
        <v>1</v>
      </c>
    </row>
    <row r="37" spans="1:8">
      <c r="A37" s="43" t="s">
        <v>329</v>
      </c>
      <c r="B37" s="12">
        <v>21</v>
      </c>
      <c r="C37" s="15">
        <v>0</v>
      </c>
      <c r="D37" s="14">
        <v>21</v>
      </c>
      <c r="E37" s="17">
        <v>16</v>
      </c>
      <c r="F37" s="15">
        <v>0</v>
      </c>
      <c r="G37" s="15">
        <v>0</v>
      </c>
      <c r="H37" s="20">
        <v>5</v>
      </c>
    </row>
    <row r="38" spans="1:8">
      <c r="A38" s="43" t="s">
        <v>328</v>
      </c>
      <c r="B38" s="12">
        <v>21</v>
      </c>
      <c r="C38" s="15">
        <v>0</v>
      </c>
      <c r="D38" s="14">
        <v>21</v>
      </c>
      <c r="E38" s="17">
        <v>13</v>
      </c>
      <c r="F38" s="15">
        <v>0</v>
      </c>
      <c r="G38" s="15">
        <v>0</v>
      </c>
      <c r="H38" s="20">
        <v>8</v>
      </c>
    </row>
    <row r="39" spans="1:8">
      <c r="A39" s="43" t="s">
        <v>326</v>
      </c>
      <c r="B39" s="12">
        <v>21</v>
      </c>
      <c r="C39" s="15">
        <v>0</v>
      </c>
      <c r="D39" s="14">
        <v>21</v>
      </c>
      <c r="E39" s="17">
        <v>14</v>
      </c>
      <c r="F39" s="15">
        <v>0</v>
      </c>
      <c r="G39" s="15">
        <v>0</v>
      </c>
      <c r="H39" s="20">
        <v>7</v>
      </c>
    </row>
    <row r="40" spans="1:8">
      <c r="A40" s="43" t="s">
        <v>332</v>
      </c>
      <c r="B40" s="12">
        <v>21</v>
      </c>
      <c r="C40" s="15">
        <v>0</v>
      </c>
      <c r="D40" s="14">
        <v>21</v>
      </c>
      <c r="E40" s="14">
        <v>1</v>
      </c>
      <c r="F40" s="15">
        <v>0</v>
      </c>
      <c r="G40" s="15">
        <v>0</v>
      </c>
      <c r="H40" s="14">
        <v>20</v>
      </c>
    </row>
    <row r="42" ht="38.25" spans="2:29">
      <c r="B42" s="21" t="s">
        <v>333</v>
      </c>
      <c r="C42" s="22" t="s">
        <v>334</v>
      </c>
      <c r="D42" s="22" t="s">
        <v>335</v>
      </c>
      <c r="E42" s="22" t="s">
        <v>336</v>
      </c>
      <c r="F42" s="22" t="s">
        <v>337</v>
      </c>
      <c r="G42" s="22" t="s">
        <v>338</v>
      </c>
      <c r="H42" s="23" t="s">
        <v>339</v>
      </c>
      <c r="I42" s="35" t="s">
        <v>340</v>
      </c>
      <c r="L42" s="21" t="s">
        <v>333</v>
      </c>
      <c r="M42" s="22" t="s">
        <v>334</v>
      </c>
      <c r="N42" s="22" t="s">
        <v>335</v>
      </c>
      <c r="O42" s="22" t="s">
        <v>336</v>
      </c>
      <c r="P42" s="22" t="s">
        <v>337</v>
      </c>
      <c r="Q42" s="22" t="s">
        <v>338</v>
      </c>
      <c r="R42" s="23" t="s">
        <v>339</v>
      </c>
      <c r="S42" s="35" t="s">
        <v>340</v>
      </c>
      <c r="V42" s="21" t="s">
        <v>333</v>
      </c>
      <c r="W42" s="22" t="s">
        <v>334</v>
      </c>
      <c r="X42" s="22" t="s">
        <v>335</v>
      </c>
      <c r="Y42" s="22" t="s">
        <v>336</v>
      </c>
      <c r="Z42" s="22" t="s">
        <v>337</v>
      </c>
      <c r="AA42" s="22" t="s">
        <v>338</v>
      </c>
      <c r="AB42" s="23" t="s">
        <v>339</v>
      </c>
      <c r="AC42" s="35" t="s">
        <v>340</v>
      </c>
    </row>
    <row r="43" spans="2:29">
      <c r="B43" s="24">
        <f t="shared" ref="B43:H43" si="0">SUM(B3:B40)</f>
        <v>798</v>
      </c>
      <c r="C43" s="24">
        <f t="shared" si="0"/>
        <v>24</v>
      </c>
      <c r="D43" s="24">
        <f t="shared" si="0"/>
        <v>774</v>
      </c>
      <c r="E43" s="24">
        <f t="shared" si="0"/>
        <v>360</v>
      </c>
      <c r="F43" s="24">
        <f t="shared" si="0"/>
        <v>0</v>
      </c>
      <c r="G43" s="24">
        <f t="shared" si="0"/>
        <v>0</v>
      </c>
      <c r="H43" s="24">
        <f t="shared" si="0"/>
        <v>414</v>
      </c>
      <c r="I43" s="28">
        <f>H43/B43*100</f>
        <v>51.8796992481203</v>
      </c>
      <c r="L43" s="24">
        <f t="shared" ref="L43:R43" si="1">SUM(L3:L40)</f>
        <v>672</v>
      </c>
      <c r="M43" s="24">
        <f t="shared" si="1"/>
        <v>28</v>
      </c>
      <c r="N43" s="24">
        <f t="shared" si="1"/>
        <v>644</v>
      </c>
      <c r="O43" s="24">
        <f t="shared" si="1"/>
        <v>214</v>
      </c>
      <c r="P43" s="24">
        <f t="shared" si="1"/>
        <v>0</v>
      </c>
      <c r="Q43" s="24">
        <f t="shared" si="1"/>
        <v>0</v>
      </c>
      <c r="R43" s="24">
        <f t="shared" si="1"/>
        <v>430</v>
      </c>
      <c r="S43" s="28">
        <f>R43/L43*100</f>
        <v>63.9880952380952</v>
      </c>
      <c r="V43" s="24">
        <f t="shared" ref="V43:AB43" si="2">SUM(V3:V40)</f>
        <v>672</v>
      </c>
      <c r="W43" s="24">
        <f t="shared" si="2"/>
        <v>10</v>
      </c>
      <c r="X43" s="24">
        <f t="shared" si="2"/>
        <v>662</v>
      </c>
      <c r="Y43" s="24">
        <f t="shared" si="2"/>
        <v>135</v>
      </c>
      <c r="Z43" s="24">
        <f t="shared" si="2"/>
        <v>0</v>
      </c>
      <c r="AA43" s="24">
        <f t="shared" si="2"/>
        <v>0</v>
      </c>
      <c r="AB43" s="24">
        <f t="shared" si="2"/>
        <v>527</v>
      </c>
      <c r="AC43" s="28">
        <f>AB43/V43*100</f>
        <v>78.4226190476191</v>
      </c>
    </row>
    <row r="46" spans="21:29">
      <c r="U46" s="16" t="s">
        <v>302</v>
      </c>
      <c r="V46" s="12">
        <v>21</v>
      </c>
      <c r="W46" s="15">
        <v>0</v>
      </c>
      <c r="X46" s="14">
        <v>21</v>
      </c>
      <c r="Y46" s="17">
        <v>6</v>
      </c>
      <c r="Z46" s="15">
        <v>0</v>
      </c>
      <c r="AA46" s="18">
        <v>15</v>
      </c>
      <c r="AB46" s="20">
        <v>0</v>
      </c>
      <c r="AC46" s="39" t="s">
        <v>341</v>
      </c>
    </row>
  </sheetData>
  <mergeCells count="3">
    <mergeCell ref="A1:H1"/>
    <mergeCell ref="K1:R1"/>
    <mergeCell ref="U1:A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workbookViewId="0">
      <selection activeCell="AE2" sqref="AE$1:EG$1048576"/>
    </sheetView>
  </sheetViews>
  <sheetFormatPr defaultColWidth="9.14285714285714" defaultRowHeight="15"/>
  <cols>
    <col min="1" max="1" width="18.1428571428571" customWidth="1"/>
    <col min="4" max="4" width="11" customWidth="1"/>
    <col min="9" max="9" width="11.7142857142857" customWidth="1"/>
    <col min="10" max="10" width="3.42857142857143" customWidth="1"/>
    <col min="14" max="14" width="11" customWidth="1"/>
    <col min="19" max="19" width="12.8571428571429" customWidth="1"/>
    <col min="24" max="24" width="11" customWidth="1"/>
    <col min="29" max="29" width="12.8571428571429" customWidth="1"/>
  </cols>
  <sheetData>
    <row r="1" spans="1:28">
      <c r="A1" s="1" t="s">
        <v>167</v>
      </c>
      <c r="B1" s="2"/>
      <c r="C1" s="2"/>
      <c r="D1" s="2"/>
      <c r="E1" s="2"/>
      <c r="F1" s="2"/>
      <c r="G1" s="2"/>
      <c r="H1" s="3"/>
      <c r="K1" s="1" t="s">
        <v>287</v>
      </c>
      <c r="L1" s="2"/>
      <c r="M1" s="2"/>
      <c r="N1" s="2"/>
      <c r="O1" s="2"/>
      <c r="P1" s="2"/>
      <c r="Q1" s="2"/>
      <c r="R1" s="3"/>
      <c r="U1" s="29" t="s">
        <v>288</v>
      </c>
      <c r="V1" s="2"/>
      <c r="W1" s="2"/>
      <c r="X1" s="2"/>
      <c r="Y1" s="2"/>
      <c r="Z1" s="2"/>
      <c r="AA1" s="2"/>
      <c r="AB1" s="3"/>
    </row>
    <row r="2" ht="38.25" customHeight="1" spans="1:28">
      <c r="A2" s="40" t="s">
        <v>289</v>
      </c>
      <c r="B2" s="31" t="s">
        <v>290</v>
      </c>
      <c r="C2" s="32" t="s">
        <v>291</v>
      </c>
      <c r="D2" s="33" t="s">
        <v>292</v>
      </c>
      <c r="E2" s="32" t="s">
        <v>293</v>
      </c>
      <c r="F2" s="32" t="s">
        <v>294</v>
      </c>
      <c r="G2" s="32" t="s">
        <v>295</v>
      </c>
      <c r="H2" s="31" t="s">
        <v>296</v>
      </c>
      <c r="K2" s="40" t="s">
        <v>289</v>
      </c>
      <c r="L2" s="31" t="s">
        <v>290</v>
      </c>
      <c r="M2" s="32" t="s">
        <v>291</v>
      </c>
      <c r="N2" s="33" t="s">
        <v>292</v>
      </c>
      <c r="O2" s="32" t="s">
        <v>293</v>
      </c>
      <c r="P2" s="32" t="s">
        <v>294</v>
      </c>
      <c r="Q2" s="32" t="s">
        <v>295</v>
      </c>
      <c r="R2" s="31" t="s">
        <v>296</v>
      </c>
      <c r="U2" s="30" t="s">
        <v>289</v>
      </c>
      <c r="V2" s="31" t="s">
        <v>290</v>
      </c>
      <c r="W2" s="32" t="s">
        <v>291</v>
      </c>
      <c r="X2" s="33" t="s">
        <v>292</v>
      </c>
      <c r="Y2" s="32" t="s">
        <v>293</v>
      </c>
      <c r="Z2" s="32" t="s">
        <v>294</v>
      </c>
      <c r="AA2" s="32" t="s">
        <v>295</v>
      </c>
      <c r="AB2" s="38" t="s">
        <v>296</v>
      </c>
    </row>
    <row r="3" spans="1:30">
      <c r="A3" s="16" t="s">
        <v>235</v>
      </c>
      <c r="B3" s="12">
        <v>21</v>
      </c>
      <c r="C3" s="15">
        <v>0</v>
      </c>
      <c r="D3" s="14">
        <v>21</v>
      </c>
      <c r="E3" s="17">
        <v>7</v>
      </c>
      <c r="F3" s="15">
        <v>0</v>
      </c>
      <c r="G3" s="18">
        <v>13</v>
      </c>
      <c r="H3" s="20">
        <v>1</v>
      </c>
      <c r="K3" s="16" t="s">
        <v>242</v>
      </c>
      <c r="L3" s="12">
        <v>21</v>
      </c>
      <c r="M3" s="15">
        <v>0</v>
      </c>
      <c r="N3" s="14">
        <v>21</v>
      </c>
      <c r="O3" s="14">
        <v>1</v>
      </c>
      <c r="P3" s="15">
        <v>0</v>
      </c>
      <c r="Q3" s="18">
        <v>20</v>
      </c>
      <c r="R3" s="20">
        <v>0</v>
      </c>
      <c r="T3" s="37"/>
      <c r="U3" s="12" t="s">
        <v>279</v>
      </c>
      <c r="V3" s="12">
        <v>21</v>
      </c>
      <c r="W3" s="15">
        <v>1</v>
      </c>
      <c r="X3" s="14">
        <v>20</v>
      </c>
      <c r="Y3" s="14">
        <v>0</v>
      </c>
      <c r="Z3" s="15">
        <v>0</v>
      </c>
      <c r="AA3" s="15">
        <v>0</v>
      </c>
      <c r="AB3" s="14">
        <v>20</v>
      </c>
      <c r="AC3" s="37"/>
      <c r="AD3" s="37"/>
    </row>
    <row r="4" spans="1:30">
      <c r="A4" s="19" t="s">
        <v>242</v>
      </c>
      <c r="B4" s="12">
        <v>21</v>
      </c>
      <c r="C4" s="15">
        <v>0</v>
      </c>
      <c r="D4" s="14">
        <v>21</v>
      </c>
      <c r="E4" s="17">
        <v>20</v>
      </c>
      <c r="F4" s="15">
        <v>0</v>
      </c>
      <c r="G4" s="15">
        <v>0</v>
      </c>
      <c r="H4" s="20">
        <v>1</v>
      </c>
      <c r="K4" s="12" t="s">
        <v>279</v>
      </c>
      <c r="L4" s="12">
        <v>21</v>
      </c>
      <c r="M4" s="13">
        <v>7</v>
      </c>
      <c r="N4" s="14">
        <v>14</v>
      </c>
      <c r="O4" s="17">
        <v>13</v>
      </c>
      <c r="P4" s="15">
        <v>0</v>
      </c>
      <c r="Q4" s="15">
        <v>0</v>
      </c>
      <c r="R4" s="20">
        <v>1</v>
      </c>
      <c r="T4" s="37"/>
      <c r="U4" s="12" t="s">
        <v>342</v>
      </c>
      <c r="V4" s="12">
        <v>21</v>
      </c>
      <c r="W4" s="15">
        <v>0</v>
      </c>
      <c r="X4" s="14">
        <v>21</v>
      </c>
      <c r="Y4" s="14">
        <v>3</v>
      </c>
      <c r="Z4" s="15">
        <v>0</v>
      </c>
      <c r="AA4" s="15">
        <v>0</v>
      </c>
      <c r="AB4" s="14">
        <v>18</v>
      </c>
      <c r="AC4" s="37"/>
      <c r="AD4" s="37"/>
    </row>
    <row r="5" spans="1:30">
      <c r="A5" s="12" t="s">
        <v>279</v>
      </c>
      <c r="B5" s="12">
        <v>21</v>
      </c>
      <c r="C5" s="15">
        <v>1</v>
      </c>
      <c r="D5" s="14">
        <v>20</v>
      </c>
      <c r="E5" s="17">
        <v>12</v>
      </c>
      <c r="F5" s="15">
        <v>0</v>
      </c>
      <c r="G5" s="15">
        <v>0</v>
      </c>
      <c r="H5" s="20">
        <v>8</v>
      </c>
      <c r="K5" s="12" t="s">
        <v>342</v>
      </c>
      <c r="L5" s="12">
        <v>21</v>
      </c>
      <c r="M5" s="15">
        <v>0</v>
      </c>
      <c r="N5" s="14">
        <v>21</v>
      </c>
      <c r="O5" s="17">
        <v>12</v>
      </c>
      <c r="P5" s="15">
        <v>0</v>
      </c>
      <c r="Q5" s="15">
        <v>0</v>
      </c>
      <c r="R5" s="14">
        <v>9</v>
      </c>
      <c r="T5" s="37"/>
      <c r="U5" s="12" t="s">
        <v>343</v>
      </c>
      <c r="V5" s="12">
        <v>21</v>
      </c>
      <c r="W5" s="15">
        <v>1</v>
      </c>
      <c r="X5" s="14">
        <v>20</v>
      </c>
      <c r="Y5" s="14">
        <v>0</v>
      </c>
      <c r="Z5" s="15">
        <v>0</v>
      </c>
      <c r="AA5" s="15">
        <v>0</v>
      </c>
      <c r="AB5" s="14">
        <v>20</v>
      </c>
      <c r="AC5" s="37"/>
      <c r="AD5" s="37"/>
    </row>
    <row r="6" spans="1:30">
      <c r="A6" s="12" t="s">
        <v>342</v>
      </c>
      <c r="B6" s="12">
        <v>21</v>
      </c>
      <c r="C6" s="15">
        <v>1</v>
      </c>
      <c r="D6" s="14">
        <v>20</v>
      </c>
      <c r="E6" s="14">
        <v>4</v>
      </c>
      <c r="F6" s="15">
        <v>0</v>
      </c>
      <c r="G6" s="15">
        <v>0</v>
      </c>
      <c r="H6" s="14">
        <v>16</v>
      </c>
      <c r="K6" s="12" t="s">
        <v>343</v>
      </c>
      <c r="L6" s="12">
        <v>21</v>
      </c>
      <c r="M6" s="15">
        <v>0</v>
      </c>
      <c r="N6" s="14">
        <v>21</v>
      </c>
      <c r="O6" s="17">
        <v>14</v>
      </c>
      <c r="P6" s="15">
        <v>0</v>
      </c>
      <c r="Q6" s="15">
        <v>0</v>
      </c>
      <c r="R6" s="20">
        <v>7</v>
      </c>
      <c r="T6" s="37"/>
      <c r="U6" s="43" t="s">
        <v>344</v>
      </c>
      <c r="V6" s="12">
        <v>21</v>
      </c>
      <c r="W6" s="13">
        <v>5</v>
      </c>
      <c r="X6" s="14">
        <v>16</v>
      </c>
      <c r="Y6" s="14">
        <v>1</v>
      </c>
      <c r="Z6" s="15">
        <v>0</v>
      </c>
      <c r="AA6" s="15">
        <v>0</v>
      </c>
      <c r="AB6" s="14">
        <v>15</v>
      </c>
      <c r="AC6" s="37"/>
      <c r="AD6" s="37"/>
    </row>
    <row r="7" spans="1:30">
      <c r="A7" s="12" t="s">
        <v>343</v>
      </c>
      <c r="B7" s="12">
        <v>21</v>
      </c>
      <c r="C7" s="15">
        <v>0</v>
      </c>
      <c r="D7" s="14">
        <v>21</v>
      </c>
      <c r="E7" s="17">
        <v>7</v>
      </c>
      <c r="F7" s="15">
        <v>0</v>
      </c>
      <c r="G7" s="15">
        <v>0</v>
      </c>
      <c r="H7" s="14">
        <v>14</v>
      </c>
      <c r="K7" s="43" t="s">
        <v>345</v>
      </c>
      <c r="L7" s="12">
        <v>21</v>
      </c>
      <c r="M7" s="13">
        <v>5</v>
      </c>
      <c r="N7" s="14">
        <v>16</v>
      </c>
      <c r="O7" s="17">
        <v>6</v>
      </c>
      <c r="P7" s="15">
        <v>0</v>
      </c>
      <c r="Q7" s="15">
        <v>0</v>
      </c>
      <c r="R7" s="14">
        <v>10</v>
      </c>
      <c r="T7" s="37"/>
      <c r="U7" s="43" t="s">
        <v>323</v>
      </c>
      <c r="V7" s="12">
        <v>21</v>
      </c>
      <c r="W7" s="15">
        <v>0</v>
      </c>
      <c r="X7" s="14">
        <v>21</v>
      </c>
      <c r="Y7" s="14">
        <v>0</v>
      </c>
      <c r="Z7" s="15">
        <v>0</v>
      </c>
      <c r="AA7" s="15">
        <v>0</v>
      </c>
      <c r="AB7" s="14">
        <v>21</v>
      </c>
      <c r="AC7" s="37"/>
      <c r="AD7" s="37"/>
    </row>
    <row r="8" spans="1:30">
      <c r="A8" s="41" t="s">
        <v>346</v>
      </c>
      <c r="B8" s="12">
        <v>21</v>
      </c>
      <c r="C8" s="15">
        <v>0</v>
      </c>
      <c r="D8" s="14">
        <v>21</v>
      </c>
      <c r="E8" s="14">
        <v>0</v>
      </c>
      <c r="F8" s="42">
        <v>20</v>
      </c>
      <c r="G8" s="15">
        <v>0</v>
      </c>
      <c r="H8" s="20">
        <v>1</v>
      </c>
      <c r="K8" s="43" t="s">
        <v>347</v>
      </c>
      <c r="L8" s="12">
        <v>21</v>
      </c>
      <c r="M8" s="15">
        <v>0</v>
      </c>
      <c r="N8" s="14">
        <v>21</v>
      </c>
      <c r="O8" s="17">
        <v>15</v>
      </c>
      <c r="P8" s="15">
        <v>0</v>
      </c>
      <c r="Q8" s="15">
        <v>0</v>
      </c>
      <c r="R8" s="20">
        <v>6</v>
      </c>
      <c r="T8" s="37"/>
      <c r="U8" s="43" t="s">
        <v>348</v>
      </c>
      <c r="V8" s="12">
        <v>21</v>
      </c>
      <c r="W8" s="15">
        <v>0</v>
      </c>
      <c r="X8" s="14">
        <v>21</v>
      </c>
      <c r="Y8" s="17">
        <v>6</v>
      </c>
      <c r="Z8" s="15">
        <v>0</v>
      </c>
      <c r="AA8" s="15">
        <v>0</v>
      </c>
      <c r="AB8" s="14">
        <v>15</v>
      </c>
      <c r="AD8" s="37"/>
    </row>
    <row r="9" spans="1:30">
      <c r="A9" s="43" t="s">
        <v>348</v>
      </c>
      <c r="B9" s="12">
        <v>21</v>
      </c>
      <c r="C9" s="13">
        <v>6</v>
      </c>
      <c r="D9" s="14">
        <v>15</v>
      </c>
      <c r="E9" s="17">
        <v>12</v>
      </c>
      <c r="F9" s="15">
        <v>0</v>
      </c>
      <c r="G9" s="15">
        <v>0</v>
      </c>
      <c r="H9" s="20">
        <v>3</v>
      </c>
      <c r="K9" s="43" t="s">
        <v>349</v>
      </c>
      <c r="L9" s="12">
        <v>21</v>
      </c>
      <c r="M9" s="15">
        <v>0</v>
      </c>
      <c r="N9" s="14">
        <v>21</v>
      </c>
      <c r="O9" s="17">
        <v>14</v>
      </c>
      <c r="P9" s="15">
        <v>0</v>
      </c>
      <c r="Q9" s="15">
        <v>0</v>
      </c>
      <c r="R9" s="20">
        <v>7</v>
      </c>
      <c r="T9" s="37"/>
      <c r="U9" s="43" t="s">
        <v>349</v>
      </c>
      <c r="V9" s="12">
        <v>21</v>
      </c>
      <c r="W9" s="15">
        <v>0</v>
      </c>
      <c r="X9" s="14">
        <v>21</v>
      </c>
      <c r="Y9" s="14">
        <v>0</v>
      </c>
      <c r="Z9" s="15">
        <v>0</v>
      </c>
      <c r="AA9" s="15">
        <v>0</v>
      </c>
      <c r="AB9" s="14">
        <v>21</v>
      </c>
      <c r="AC9" s="37"/>
      <c r="AD9" s="37"/>
    </row>
    <row r="10" spans="1:30">
      <c r="A10" s="44" t="s">
        <v>240</v>
      </c>
      <c r="B10" s="12">
        <v>21</v>
      </c>
      <c r="C10" s="15">
        <v>0</v>
      </c>
      <c r="D10" s="14">
        <v>21</v>
      </c>
      <c r="E10" s="17">
        <v>6</v>
      </c>
      <c r="F10" s="15">
        <v>0</v>
      </c>
      <c r="G10" s="18">
        <v>13</v>
      </c>
      <c r="H10" s="20">
        <v>2</v>
      </c>
      <c r="K10" s="43" t="s">
        <v>348</v>
      </c>
      <c r="L10" s="12">
        <v>21</v>
      </c>
      <c r="M10" s="13">
        <v>8</v>
      </c>
      <c r="N10" s="14">
        <v>13</v>
      </c>
      <c r="O10" s="17">
        <v>11</v>
      </c>
      <c r="P10" s="15">
        <v>0</v>
      </c>
      <c r="Q10" s="15">
        <v>0</v>
      </c>
      <c r="R10" s="20">
        <v>2</v>
      </c>
      <c r="T10" s="37"/>
      <c r="U10" s="43" t="s">
        <v>347</v>
      </c>
      <c r="V10" s="12">
        <v>21</v>
      </c>
      <c r="W10" s="15">
        <v>0</v>
      </c>
      <c r="X10" s="14">
        <v>21</v>
      </c>
      <c r="Y10" s="17">
        <v>5</v>
      </c>
      <c r="Z10" s="15">
        <v>0</v>
      </c>
      <c r="AA10" s="15">
        <v>0</v>
      </c>
      <c r="AB10" s="14">
        <v>16</v>
      </c>
      <c r="AC10" s="37"/>
      <c r="AD10" s="37"/>
    </row>
    <row r="11" spans="1:30">
      <c r="A11" s="43" t="s">
        <v>347</v>
      </c>
      <c r="B11" s="12">
        <v>21</v>
      </c>
      <c r="C11" s="15">
        <v>0</v>
      </c>
      <c r="D11" s="14">
        <v>21</v>
      </c>
      <c r="E11" s="17">
        <v>8</v>
      </c>
      <c r="F11" s="15">
        <v>0</v>
      </c>
      <c r="G11" s="15">
        <v>0</v>
      </c>
      <c r="H11" s="14">
        <v>13</v>
      </c>
      <c r="K11" s="43" t="s">
        <v>323</v>
      </c>
      <c r="L11" s="12">
        <v>21</v>
      </c>
      <c r="M11" s="15">
        <v>0</v>
      </c>
      <c r="N11" s="14">
        <v>21</v>
      </c>
      <c r="O11" s="17">
        <v>11</v>
      </c>
      <c r="P11" s="15">
        <v>0</v>
      </c>
      <c r="Q11" s="15">
        <v>0</v>
      </c>
      <c r="R11" s="14">
        <v>10</v>
      </c>
      <c r="T11" s="37"/>
      <c r="U11" s="43" t="s">
        <v>345</v>
      </c>
      <c r="V11" s="12">
        <v>21</v>
      </c>
      <c r="W11" s="15">
        <v>1</v>
      </c>
      <c r="X11" s="14">
        <v>20</v>
      </c>
      <c r="Y11" s="14">
        <v>1</v>
      </c>
      <c r="Z11" s="15">
        <v>0</v>
      </c>
      <c r="AA11" s="15">
        <v>0</v>
      </c>
      <c r="AB11" s="14">
        <v>19</v>
      </c>
      <c r="AC11" s="37"/>
      <c r="AD11" s="37"/>
    </row>
    <row r="12" spans="1:30">
      <c r="A12" s="43" t="s">
        <v>345</v>
      </c>
      <c r="B12" s="12">
        <v>21</v>
      </c>
      <c r="C12" s="15">
        <v>1</v>
      </c>
      <c r="D12" s="14">
        <v>20</v>
      </c>
      <c r="E12" s="17">
        <v>14</v>
      </c>
      <c r="F12" s="15">
        <v>0</v>
      </c>
      <c r="G12" s="15">
        <v>0</v>
      </c>
      <c r="H12" s="20">
        <v>6</v>
      </c>
      <c r="K12" s="45" t="s">
        <v>346</v>
      </c>
      <c r="L12" s="12">
        <v>21</v>
      </c>
      <c r="M12" s="15">
        <v>0</v>
      </c>
      <c r="N12" s="14">
        <v>21</v>
      </c>
      <c r="O12" s="14">
        <v>0</v>
      </c>
      <c r="P12" s="42">
        <v>21</v>
      </c>
      <c r="Q12" s="15">
        <v>0</v>
      </c>
      <c r="R12" s="20">
        <v>0</v>
      </c>
      <c r="T12" s="37"/>
      <c r="AC12" s="37"/>
      <c r="AD12" s="37"/>
    </row>
    <row r="13" spans="1:30">
      <c r="A13" s="43" t="s">
        <v>349</v>
      </c>
      <c r="B13" s="12">
        <v>21</v>
      </c>
      <c r="C13" s="15">
        <v>0</v>
      </c>
      <c r="D13" s="14">
        <v>21</v>
      </c>
      <c r="E13" s="17">
        <v>7</v>
      </c>
      <c r="F13" s="15">
        <v>0</v>
      </c>
      <c r="G13" s="15">
        <v>0</v>
      </c>
      <c r="H13" s="14">
        <v>14</v>
      </c>
      <c r="T13" s="37"/>
      <c r="U13" s="46"/>
      <c r="V13" s="36"/>
      <c r="W13" s="47"/>
      <c r="X13" s="48"/>
      <c r="Y13" s="48"/>
      <c r="Z13" s="47"/>
      <c r="AA13" s="47"/>
      <c r="AB13" s="48"/>
      <c r="AC13" s="37"/>
      <c r="AD13" s="37"/>
    </row>
    <row r="14" spans="20:30">
      <c r="T14" s="37"/>
      <c r="U14" s="46"/>
      <c r="V14" s="36"/>
      <c r="W14" s="47"/>
      <c r="X14" s="48"/>
      <c r="Y14" s="51"/>
      <c r="Z14" s="47"/>
      <c r="AA14" s="47"/>
      <c r="AB14" s="48"/>
      <c r="AC14" s="37"/>
      <c r="AD14" s="37"/>
    </row>
    <row r="15" ht="25.5" spans="2:30">
      <c r="B15" s="21" t="s">
        <v>333</v>
      </c>
      <c r="C15" s="22" t="s">
        <v>334</v>
      </c>
      <c r="D15" s="22" t="s">
        <v>335</v>
      </c>
      <c r="E15" s="22" t="s">
        <v>336</v>
      </c>
      <c r="F15" s="22" t="s">
        <v>337</v>
      </c>
      <c r="G15" s="22" t="s">
        <v>338</v>
      </c>
      <c r="H15" s="23" t="s">
        <v>339</v>
      </c>
      <c r="I15" s="35" t="s">
        <v>340</v>
      </c>
      <c r="L15" s="21" t="s">
        <v>333</v>
      </c>
      <c r="M15" s="22" t="s">
        <v>334</v>
      </c>
      <c r="N15" s="22" t="s">
        <v>335</v>
      </c>
      <c r="O15" s="22" t="s">
        <v>336</v>
      </c>
      <c r="P15" s="22" t="s">
        <v>337</v>
      </c>
      <c r="Q15" s="22" t="s">
        <v>338</v>
      </c>
      <c r="R15" s="23" t="s">
        <v>339</v>
      </c>
      <c r="S15" s="49" t="s">
        <v>340</v>
      </c>
      <c r="T15" s="37"/>
      <c r="U15" s="46"/>
      <c r="V15" s="21" t="s">
        <v>333</v>
      </c>
      <c r="W15" s="22" t="s">
        <v>334</v>
      </c>
      <c r="X15" s="22" t="s">
        <v>335</v>
      </c>
      <c r="Y15" s="22" t="s">
        <v>336</v>
      </c>
      <c r="Z15" s="22" t="s">
        <v>337</v>
      </c>
      <c r="AA15" s="22" t="s">
        <v>338</v>
      </c>
      <c r="AB15" s="23" t="s">
        <v>339</v>
      </c>
      <c r="AC15" s="49" t="s">
        <v>340</v>
      </c>
      <c r="AD15" s="37"/>
    </row>
    <row r="16" spans="2:30">
      <c r="B16" s="24">
        <f t="shared" ref="B16:H16" si="0">SUM(B3:B13)</f>
        <v>231</v>
      </c>
      <c r="C16" s="24">
        <f t="shared" si="0"/>
        <v>9</v>
      </c>
      <c r="D16" s="24">
        <f t="shared" si="0"/>
        <v>222</v>
      </c>
      <c r="E16" s="24">
        <f t="shared" si="0"/>
        <v>97</v>
      </c>
      <c r="F16" s="24">
        <f t="shared" si="0"/>
        <v>20</v>
      </c>
      <c r="G16" s="24">
        <f t="shared" si="0"/>
        <v>26</v>
      </c>
      <c r="H16" s="24">
        <f t="shared" si="0"/>
        <v>79</v>
      </c>
      <c r="I16" s="28">
        <f>H16/B16*100</f>
        <v>34.1991341991342</v>
      </c>
      <c r="L16" s="24">
        <f t="shared" ref="L16:R16" si="1">SUM(L3:L13)</f>
        <v>210</v>
      </c>
      <c r="M16" s="24">
        <f t="shared" si="1"/>
        <v>20</v>
      </c>
      <c r="N16" s="24">
        <f t="shared" si="1"/>
        <v>190</v>
      </c>
      <c r="O16" s="24">
        <f t="shared" si="1"/>
        <v>97</v>
      </c>
      <c r="P16" s="24">
        <f t="shared" si="1"/>
        <v>21</v>
      </c>
      <c r="Q16" s="24">
        <f t="shared" si="1"/>
        <v>20</v>
      </c>
      <c r="R16" s="24">
        <f t="shared" si="1"/>
        <v>52</v>
      </c>
      <c r="S16" s="50">
        <f>R16/L16*100</f>
        <v>24.7619047619048</v>
      </c>
      <c r="T16" s="37"/>
      <c r="U16" s="37"/>
      <c r="V16" s="24">
        <f t="shared" ref="V16:AB16" si="2">SUM(V3:V13)</f>
        <v>189</v>
      </c>
      <c r="W16" s="24">
        <f t="shared" si="2"/>
        <v>8</v>
      </c>
      <c r="X16" s="24">
        <f t="shared" si="2"/>
        <v>181</v>
      </c>
      <c r="Y16" s="24">
        <f t="shared" si="2"/>
        <v>16</v>
      </c>
      <c r="Z16" s="24">
        <f t="shared" si="2"/>
        <v>0</v>
      </c>
      <c r="AA16" s="24">
        <f t="shared" si="2"/>
        <v>0</v>
      </c>
      <c r="AB16" s="24">
        <f t="shared" si="2"/>
        <v>165</v>
      </c>
      <c r="AC16" s="50">
        <f>AB16/V16*100</f>
        <v>87.3015873015873</v>
      </c>
      <c r="AD16" s="37"/>
    </row>
    <row r="19" spans="21:29">
      <c r="U19" s="45" t="s">
        <v>346</v>
      </c>
      <c r="V19" s="12">
        <v>21</v>
      </c>
      <c r="W19" s="15">
        <v>0</v>
      </c>
      <c r="X19" s="14">
        <v>21</v>
      </c>
      <c r="Y19" s="14">
        <v>0</v>
      </c>
      <c r="Z19" s="42">
        <v>21</v>
      </c>
      <c r="AA19" s="15">
        <v>0</v>
      </c>
      <c r="AB19" s="20">
        <v>0</v>
      </c>
      <c r="AC19" s="39" t="s">
        <v>350</v>
      </c>
    </row>
  </sheetData>
  <mergeCells count="3">
    <mergeCell ref="A1:H1"/>
    <mergeCell ref="K1:R1"/>
    <mergeCell ref="U1:A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zoomScale="90" zoomScaleNormal="90" workbookViewId="0">
      <selection activeCell="AL2" sqref="AL2"/>
    </sheetView>
  </sheetViews>
  <sheetFormatPr defaultColWidth="9.14285714285714" defaultRowHeight="15"/>
  <cols>
    <col min="2" max="2" width="12" customWidth="1"/>
    <col min="4" max="4" width="11" customWidth="1"/>
    <col min="9" max="9" width="10.8571428571429" customWidth="1"/>
    <col min="10" max="10" width="3.57142857142857" customWidth="1"/>
    <col min="14" max="14" width="11" customWidth="1"/>
    <col min="19" max="19" width="10.1428571428571" customWidth="1"/>
    <col min="24" max="24" width="11.9047619047619" customWidth="1"/>
    <col min="29" max="29" width="11.7142857142857"/>
  </cols>
  <sheetData>
    <row r="1" spans="1:28">
      <c r="A1" s="1" t="s">
        <v>167</v>
      </c>
      <c r="B1" s="2"/>
      <c r="C1" s="2"/>
      <c r="D1" s="2"/>
      <c r="E1" s="2"/>
      <c r="F1" s="2"/>
      <c r="G1" s="2"/>
      <c r="H1" s="3"/>
      <c r="K1" s="1" t="s">
        <v>287</v>
      </c>
      <c r="L1" s="2"/>
      <c r="M1" s="2"/>
      <c r="N1" s="2"/>
      <c r="O1" s="2"/>
      <c r="P1" s="2"/>
      <c r="Q1" s="2"/>
      <c r="R1" s="3"/>
      <c r="U1" s="29" t="s">
        <v>288</v>
      </c>
      <c r="V1" s="2"/>
      <c r="W1" s="2"/>
      <c r="X1" s="2"/>
      <c r="Y1" s="2"/>
      <c r="Z1" s="2"/>
      <c r="AA1" s="2"/>
      <c r="AB1" s="3"/>
    </row>
    <row r="2" ht="38.25" customHeight="1" spans="1:28">
      <c r="A2" s="4" t="s">
        <v>289</v>
      </c>
      <c r="B2" s="5" t="s">
        <v>290</v>
      </c>
      <c r="C2" s="6" t="s">
        <v>291</v>
      </c>
      <c r="D2" s="7" t="s">
        <v>292</v>
      </c>
      <c r="E2" s="6" t="s">
        <v>293</v>
      </c>
      <c r="F2" s="6" t="s">
        <v>294</v>
      </c>
      <c r="G2" s="6" t="s">
        <v>295</v>
      </c>
      <c r="H2" s="8" t="s">
        <v>296</v>
      </c>
      <c r="K2" s="4" t="s">
        <v>289</v>
      </c>
      <c r="L2" s="5" t="s">
        <v>290</v>
      </c>
      <c r="M2" s="6" t="s">
        <v>291</v>
      </c>
      <c r="N2" s="7" t="s">
        <v>292</v>
      </c>
      <c r="O2" s="6" t="s">
        <v>293</v>
      </c>
      <c r="P2" s="6" t="s">
        <v>294</v>
      </c>
      <c r="Q2" s="6" t="s">
        <v>295</v>
      </c>
      <c r="R2" s="8" t="s">
        <v>296</v>
      </c>
      <c r="U2" s="30" t="s">
        <v>289</v>
      </c>
      <c r="V2" s="31" t="s">
        <v>290</v>
      </c>
      <c r="W2" s="32" t="s">
        <v>291</v>
      </c>
      <c r="X2" s="33" t="s">
        <v>292</v>
      </c>
      <c r="Y2" s="32" t="s">
        <v>293</v>
      </c>
      <c r="Z2" s="32" t="s">
        <v>294</v>
      </c>
      <c r="AA2" s="32" t="s">
        <v>295</v>
      </c>
      <c r="AB2" s="38" t="s">
        <v>296</v>
      </c>
    </row>
    <row r="3" customHeight="1" spans="1:30">
      <c r="A3" s="9" t="s">
        <v>351</v>
      </c>
      <c r="B3" s="9">
        <v>21</v>
      </c>
      <c r="C3" s="10">
        <v>0</v>
      </c>
      <c r="D3" s="11">
        <v>21</v>
      </c>
      <c r="E3" s="11">
        <v>0</v>
      </c>
      <c r="F3" s="10">
        <v>0</v>
      </c>
      <c r="G3" s="10">
        <v>0</v>
      </c>
      <c r="H3" s="11">
        <v>21</v>
      </c>
      <c r="K3" s="9" t="s">
        <v>351</v>
      </c>
      <c r="L3" s="9">
        <v>21</v>
      </c>
      <c r="M3" s="10">
        <v>0</v>
      </c>
      <c r="N3" s="11">
        <v>21</v>
      </c>
      <c r="O3" s="11">
        <v>0</v>
      </c>
      <c r="P3" s="10">
        <v>0</v>
      </c>
      <c r="Q3" s="10">
        <v>0</v>
      </c>
      <c r="R3" s="11">
        <v>21</v>
      </c>
      <c r="U3" s="12" t="s">
        <v>283</v>
      </c>
      <c r="V3" s="12">
        <v>21</v>
      </c>
      <c r="W3" s="15">
        <v>0</v>
      </c>
      <c r="X3" s="14">
        <v>21</v>
      </c>
      <c r="Y3" s="17">
        <v>11</v>
      </c>
      <c r="Z3" s="15">
        <v>0</v>
      </c>
      <c r="AA3" s="15">
        <v>0</v>
      </c>
      <c r="AB3" s="14">
        <v>10</v>
      </c>
      <c r="AC3" s="37"/>
      <c r="AD3" s="37"/>
    </row>
    <row r="4" ht="16.5" customHeight="1" spans="1:30">
      <c r="A4" s="12" t="s">
        <v>352</v>
      </c>
      <c r="B4" s="12">
        <v>21</v>
      </c>
      <c r="C4" s="13">
        <v>7</v>
      </c>
      <c r="D4" s="14">
        <v>14</v>
      </c>
      <c r="E4" s="14">
        <v>3</v>
      </c>
      <c r="F4" s="15">
        <v>0</v>
      </c>
      <c r="G4" s="15">
        <v>0</v>
      </c>
      <c r="H4" s="14">
        <v>11</v>
      </c>
      <c r="K4" s="12" t="s">
        <v>353</v>
      </c>
      <c r="L4" s="12">
        <v>21</v>
      </c>
      <c r="M4" s="15">
        <v>0</v>
      </c>
      <c r="N4" s="14">
        <v>21</v>
      </c>
      <c r="O4" s="14">
        <v>0</v>
      </c>
      <c r="P4" s="15">
        <v>0</v>
      </c>
      <c r="Q4" s="15">
        <v>0</v>
      </c>
      <c r="R4" s="14">
        <v>21</v>
      </c>
      <c r="U4" s="12" t="s">
        <v>354</v>
      </c>
      <c r="V4" s="12">
        <v>21</v>
      </c>
      <c r="W4" s="15">
        <v>0</v>
      </c>
      <c r="X4" s="14">
        <v>21</v>
      </c>
      <c r="Y4" s="17">
        <v>10</v>
      </c>
      <c r="Z4" s="15">
        <v>0</v>
      </c>
      <c r="AA4" s="15">
        <v>0</v>
      </c>
      <c r="AB4" s="14">
        <v>11</v>
      </c>
      <c r="AC4" s="37"/>
      <c r="AD4" s="37"/>
    </row>
    <row r="5" ht="16.5" customHeight="1" spans="1:30">
      <c r="A5" s="16" t="s">
        <v>239</v>
      </c>
      <c r="B5" s="12">
        <v>21</v>
      </c>
      <c r="C5" s="15">
        <v>0</v>
      </c>
      <c r="D5" s="14">
        <v>21</v>
      </c>
      <c r="E5" s="17">
        <v>6</v>
      </c>
      <c r="F5" s="15">
        <v>0</v>
      </c>
      <c r="G5" s="18">
        <v>1</v>
      </c>
      <c r="H5" s="14">
        <v>14</v>
      </c>
      <c r="K5" s="12" t="s">
        <v>352</v>
      </c>
      <c r="L5" s="12">
        <v>21</v>
      </c>
      <c r="M5" s="15">
        <v>0</v>
      </c>
      <c r="N5" s="14">
        <v>21</v>
      </c>
      <c r="O5" s="14">
        <v>3</v>
      </c>
      <c r="P5" s="15">
        <v>0</v>
      </c>
      <c r="Q5" s="15">
        <v>0</v>
      </c>
      <c r="R5" s="14">
        <v>18</v>
      </c>
      <c r="U5" s="12" t="s">
        <v>355</v>
      </c>
      <c r="V5" s="12">
        <v>21</v>
      </c>
      <c r="W5" s="15">
        <v>0</v>
      </c>
      <c r="X5" s="14">
        <v>21</v>
      </c>
      <c r="Y5" s="17">
        <v>5</v>
      </c>
      <c r="Z5" s="15">
        <v>0</v>
      </c>
      <c r="AA5" s="15">
        <v>0</v>
      </c>
      <c r="AB5" s="14">
        <v>16</v>
      </c>
      <c r="AC5" s="37"/>
      <c r="AD5" s="37"/>
    </row>
    <row r="6" customHeight="1" spans="1:30">
      <c r="A6" s="19" t="s">
        <v>244</v>
      </c>
      <c r="B6" s="12">
        <v>21</v>
      </c>
      <c r="C6" s="13">
        <v>4</v>
      </c>
      <c r="D6" s="14">
        <v>17</v>
      </c>
      <c r="E6" s="14">
        <v>1</v>
      </c>
      <c r="F6" s="15">
        <v>0</v>
      </c>
      <c r="G6" s="15">
        <v>0</v>
      </c>
      <c r="H6" s="14">
        <v>16</v>
      </c>
      <c r="K6" s="12" t="s">
        <v>356</v>
      </c>
      <c r="L6" s="12">
        <v>21</v>
      </c>
      <c r="M6" s="15">
        <v>1</v>
      </c>
      <c r="N6" s="14">
        <v>20</v>
      </c>
      <c r="O6" s="14">
        <v>3</v>
      </c>
      <c r="P6" s="15">
        <v>0</v>
      </c>
      <c r="Q6" s="15">
        <v>0</v>
      </c>
      <c r="R6" s="14">
        <v>17</v>
      </c>
      <c r="U6" s="34" t="s">
        <v>357</v>
      </c>
      <c r="V6" s="12">
        <v>21</v>
      </c>
      <c r="W6" s="15">
        <v>0</v>
      </c>
      <c r="X6" s="14">
        <v>21</v>
      </c>
      <c r="Y6" s="14">
        <v>0</v>
      </c>
      <c r="Z6" s="15">
        <v>0</v>
      </c>
      <c r="AA6" s="15">
        <v>0</v>
      </c>
      <c r="AB6" s="14">
        <v>21</v>
      </c>
      <c r="AC6" s="37"/>
      <c r="AD6" s="37"/>
    </row>
    <row r="7" customHeight="1" spans="1:30">
      <c r="A7" s="12" t="s">
        <v>356</v>
      </c>
      <c r="B7" s="12">
        <v>21</v>
      </c>
      <c r="C7" s="13">
        <v>4</v>
      </c>
      <c r="D7" s="14">
        <v>17</v>
      </c>
      <c r="E7" s="17">
        <v>6</v>
      </c>
      <c r="F7" s="15">
        <v>0</v>
      </c>
      <c r="G7" s="15">
        <v>0</v>
      </c>
      <c r="H7" s="14">
        <v>11</v>
      </c>
      <c r="K7" s="12" t="s">
        <v>358</v>
      </c>
      <c r="L7" s="12">
        <v>21</v>
      </c>
      <c r="M7" s="13">
        <v>10</v>
      </c>
      <c r="N7" s="14">
        <v>11</v>
      </c>
      <c r="O7" s="17">
        <v>5</v>
      </c>
      <c r="P7" s="15">
        <v>0</v>
      </c>
      <c r="Q7" s="15">
        <v>0</v>
      </c>
      <c r="R7" s="20">
        <v>6</v>
      </c>
      <c r="U7" s="12" t="s">
        <v>352</v>
      </c>
      <c r="V7" s="12">
        <v>21</v>
      </c>
      <c r="W7" s="15">
        <v>0</v>
      </c>
      <c r="X7" s="14">
        <v>21</v>
      </c>
      <c r="Y7" s="17">
        <v>8</v>
      </c>
      <c r="Z7" s="15">
        <v>0</v>
      </c>
      <c r="AA7" s="15">
        <v>0</v>
      </c>
      <c r="AB7" s="14">
        <v>13</v>
      </c>
      <c r="AC7" s="37"/>
      <c r="AD7" s="37"/>
    </row>
    <row r="8" customHeight="1" spans="1:30">
      <c r="A8" s="12" t="s">
        <v>252</v>
      </c>
      <c r="B8" s="12">
        <v>21</v>
      </c>
      <c r="C8" s="15">
        <v>2</v>
      </c>
      <c r="D8" s="14">
        <v>19</v>
      </c>
      <c r="E8" s="17">
        <v>15</v>
      </c>
      <c r="F8" s="15">
        <v>0</v>
      </c>
      <c r="G8" s="15">
        <v>0</v>
      </c>
      <c r="H8" s="20">
        <v>4</v>
      </c>
      <c r="K8" s="12" t="s">
        <v>359</v>
      </c>
      <c r="L8" s="12">
        <v>21</v>
      </c>
      <c r="M8" s="13">
        <v>5</v>
      </c>
      <c r="N8" s="14">
        <v>16</v>
      </c>
      <c r="O8" s="17">
        <v>5</v>
      </c>
      <c r="P8" s="15">
        <v>0</v>
      </c>
      <c r="Q8" s="15">
        <v>0</v>
      </c>
      <c r="R8" s="14">
        <v>11</v>
      </c>
      <c r="U8" s="34" t="s">
        <v>266</v>
      </c>
      <c r="V8" s="12">
        <v>21</v>
      </c>
      <c r="W8" s="15">
        <v>1</v>
      </c>
      <c r="X8" s="14">
        <v>20</v>
      </c>
      <c r="Y8" s="17">
        <v>20</v>
      </c>
      <c r="Z8" s="15">
        <v>0</v>
      </c>
      <c r="AA8" s="15">
        <v>0</v>
      </c>
      <c r="AB8" s="20">
        <v>0</v>
      </c>
      <c r="AC8" s="37"/>
      <c r="AD8" s="37"/>
    </row>
    <row r="9" ht="16.5" customHeight="1" spans="1:30">
      <c r="A9" s="12" t="s">
        <v>353</v>
      </c>
      <c r="B9" s="12">
        <v>21</v>
      </c>
      <c r="C9" s="15">
        <v>0</v>
      </c>
      <c r="D9" s="14">
        <v>21</v>
      </c>
      <c r="E9" s="17">
        <v>11</v>
      </c>
      <c r="F9" s="15">
        <v>0</v>
      </c>
      <c r="G9" s="15">
        <v>0</v>
      </c>
      <c r="H9" s="14">
        <v>10</v>
      </c>
      <c r="K9" s="16" t="s">
        <v>244</v>
      </c>
      <c r="L9" s="12">
        <v>21</v>
      </c>
      <c r="M9" s="13">
        <v>7</v>
      </c>
      <c r="N9" s="14">
        <v>14</v>
      </c>
      <c r="O9" s="17">
        <v>8</v>
      </c>
      <c r="P9" s="15">
        <v>0</v>
      </c>
      <c r="Q9" s="18">
        <v>1</v>
      </c>
      <c r="R9" s="20">
        <v>5</v>
      </c>
      <c r="U9" s="19" t="s">
        <v>259</v>
      </c>
      <c r="V9" s="12">
        <v>21</v>
      </c>
      <c r="W9" s="15">
        <v>0</v>
      </c>
      <c r="X9" s="14">
        <v>21</v>
      </c>
      <c r="Y9" s="14">
        <v>0</v>
      </c>
      <c r="Z9" s="15">
        <v>0</v>
      </c>
      <c r="AA9" s="15">
        <v>0</v>
      </c>
      <c r="AB9" s="14">
        <v>21</v>
      </c>
      <c r="AC9" s="37"/>
      <c r="AD9" s="37"/>
    </row>
    <row r="10" customHeight="1" spans="1:30">
      <c r="A10" s="12" t="s">
        <v>360</v>
      </c>
      <c r="B10" s="12">
        <v>21</v>
      </c>
      <c r="C10" s="15">
        <v>0</v>
      </c>
      <c r="D10" s="14">
        <v>21</v>
      </c>
      <c r="E10" s="14">
        <v>0</v>
      </c>
      <c r="F10" s="15">
        <v>0</v>
      </c>
      <c r="G10" s="15">
        <v>0</v>
      </c>
      <c r="H10" s="14">
        <v>21</v>
      </c>
      <c r="K10" s="12" t="s">
        <v>252</v>
      </c>
      <c r="L10" s="12">
        <v>21</v>
      </c>
      <c r="M10" s="15">
        <v>0</v>
      </c>
      <c r="N10" s="14">
        <v>21</v>
      </c>
      <c r="O10" s="14">
        <v>3</v>
      </c>
      <c r="P10" s="15">
        <v>0</v>
      </c>
      <c r="Q10" s="15">
        <v>0</v>
      </c>
      <c r="R10" s="14">
        <v>18</v>
      </c>
      <c r="U10" s="12" t="s">
        <v>356</v>
      </c>
      <c r="V10" s="12">
        <v>21</v>
      </c>
      <c r="W10" s="15">
        <v>2</v>
      </c>
      <c r="X10" s="14">
        <v>19</v>
      </c>
      <c r="Y10" s="17">
        <v>7</v>
      </c>
      <c r="Z10" s="15">
        <v>0</v>
      </c>
      <c r="AA10" s="15">
        <v>0</v>
      </c>
      <c r="AB10" s="14">
        <v>12</v>
      </c>
      <c r="AC10" s="37"/>
      <c r="AD10" s="37"/>
    </row>
    <row r="11" customHeight="1" spans="1:30">
      <c r="A11" s="12" t="s">
        <v>358</v>
      </c>
      <c r="B11" s="12">
        <v>21</v>
      </c>
      <c r="C11" s="13">
        <v>5</v>
      </c>
      <c r="D11" s="14">
        <v>16</v>
      </c>
      <c r="E11" s="17">
        <v>9</v>
      </c>
      <c r="F11" s="15">
        <v>0</v>
      </c>
      <c r="G11" s="15">
        <v>0</v>
      </c>
      <c r="H11" s="20">
        <v>7</v>
      </c>
      <c r="U11" s="12" t="s">
        <v>252</v>
      </c>
      <c r="V11" s="12">
        <v>21</v>
      </c>
      <c r="W11" s="15">
        <v>0</v>
      </c>
      <c r="X11" s="14">
        <v>21</v>
      </c>
      <c r="Y11" s="14">
        <v>0</v>
      </c>
      <c r="Z11" s="15">
        <v>0</v>
      </c>
      <c r="AA11" s="15">
        <v>0</v>
      </c>
      <c r="AB11" s="14">
        <v>21</v>
      </c>
      <c r="AC11" s="37"/>
      <c r="AD11" s="37"/>
    </row>
    <row r="12" customHeight="1" spans="1:30">
      <c r="A12" s="12" t="s">
        <v>359</v>
      </c>
      <c r="B12" s="12">
        <v>21</v>
      </c>
      <c r="C12" s="15">
        <v>2</v>
      </c>
      <c r="D12" s="14">
        <v>19</v>
      </c>
      <c r="E12" s="17">
        <v>5</v>
      </c>
      <c r="F12" s="15">
        <v>0</v>
      </c>
      <c r="G12" s="15">
        <v>0</v>
      </c>
      <c r="H12" s="14">
        <v>14</v>
      </c>
      <c r="U12" s="12" t="s">
        <v>353</v>
      </c>
      <c r="V12" s="12">
        <v>21</v>
      </c>
      <c r="W12" s="15">
        <v>0</v>
      </c>
      <c r="X12" s="14">
        <v>21</v>
      </c>
      <c r="Y12" s="14">
        <v>1</v>
      </c>
      <c r="Z12" s="15">
        <v>0</v>
      </c>
      <c r="AA12" s="15">
        <v>0</v>
      </c>
      <c r="AB12" s="14">
        <v>20</v>
      </c>
      <c r="AC12" s="37"/>
      <c r="AD12" s="37"/>
    </row>
    <row r="13" spans="21:30">
      <c r="U13" s="12" t="s">
        <v>361</v>
      </c>
      <c r="V13" s="12">
        <v>21</v>
      </c>
      <c r="W13" s="13">
        <v>3</v>
      </c>
      <c r="X13" s="14">
        <v>18</v>
      </c>
      <c r="Y13" s="14">
        <v>3</v>
      </c>
      <c r="Z13" s="15">
        <v>0</v>
      </c>
      <c r="AA13" s="15">
        <v>0</v>
      </c>
      <c r="AB13" s="14">
        <v>15</v>
      </c>
      <c r="AC13" s="37"/>
      <c r="AD13" s="37"/>
    </row>
    <row r="14" ht="25.5" spans="2:30">
      <c r="B14" s="21" t="s">
        <v>333</v>
      </c>
      <c r="C14" s="22" t="s">
        <v>334</v>
      </c>
      <c r="D14" s="22" t="s">
        <v>335</v>
      </c>
      <c r="E14" s="22" t="s">
        <v>336</v>
      </c>
      <c r="F14" s="22" t="s">
        <v>337</v>
      </c>
      <c r="G14" s="22" t="s">
        <v>338</v>
      </c>
      <c r="H14" s="23" t="s">
        <v>339</v>
      </c>
      <c r="I14" s="27" t="s">
        <v>340</v>
      </c>
      <c r="L14" s="21" t="s">
        <v>333</v>
      </c>
      <c r="M14" s="22" t="s">
        <v>334</v>
      </c>
      <c r="N14" s="22" t="s">
        <v>335</v>
      </c>
      <c r="O14" s="22" t="s">
        <v>336</v>
      </c>
      <c r="P14" s="22" t="s">
        <v>337</v>
      </c>
      <c r="Q14" s="22" t="s">
        <v>338</v>
      </c>
      <c r="R14" s="23" t="s">
        <v>339</v>
      </c>
      <c r="S14" s="35" t="s">
        <v>340</v>
      </c>
      <c r="U14" s="12" t="s">
        <v>359</v>
      </c>
      <c r="V14" s="12">
        <v>21</v>
      </c>
      <c r="W14" s="15">
        <v>0</v>
      </c>
      <c r="X14" s="14">
        <v>21</v>
      </c>
      <c r="Y14" s="14">
        <v>4</v>
      </c>
      <c r="Z14" s="15">
        <v>0</v>
      </c>
      <c r="AA14" s="15">
        <v>0</v>
      </c>
      <c r="AB14" s="14">
        <v>17</v>
      </c>
      <c r="AC14" s="37"/>
      <c r="AD14" s="37"/>
    </row>
    <row r="15" spans="2:30">
      <c r="B15" s="24">
        <f>SUM(B3:B12)</f>
        <v>210</v>
      </c>
      <c r="C15" s="25">
        <f t="shared" ref="B15:H15" si="0">SUM(C3:C12)</f>
        <v>24</v>
      </c>
      <c r="D15" s="25">
        <f t="shared" si="0"/>
        <v>186</v>
      </c>
      <c r="E15" s="25">
        <f t="shared" si="0"/>
        <v>56</v>
      </c>
      <c r="F15" s="25">
        <f t="shared" si="0"/>
        <v>0</v>
      </c>
      <c r="G15" s="25">
        <f t="shared" si="0"/>
        <v>1</v>
      </c>
      <c r="H15" s="25">
        <f t="shared" si="0"/>
        <v>129</v>
      </c>
      <c r="I15" s="28">
        <f>H15/B15*100</f>
        <v>61.4285714285714</v>
      </c>
      <c r="L15" s="24">
        <f t="shared" ref="L15:R15" si="1">SUM(L3:L12)</f>
        <v>168</v>
      </c>
      <c r="M15" s="25">
        <f t="shared" si="1"/>
        <v>23</v>
      </c>
      <c r="N15" s="25">
        <f t="shared" si="1"/>
        <v>145</v>
      </c>
      <c r="O15" s="25">
        <f t="shared" si="1"/>
        <v>27</v>
      </c>
      <c r="P15" s="25">
        <f t="shared" si="1"/>
        <v>0</v>
      </c>
      <c r="Q15" s="25">
        <f t="shared" si="1"/>
        <v>1</v>
      </c>
      <c r="R15" s="25">
        <f t="shared" si="1"/>
        <v>117</v>
      </c>
      <c r="S15" s="28">
        <f>R15/L15*100</f>
        <v>69.6428571428571</v>
      </c>
      <c r="U15" s="12" t="s">
        <v>358</v>
      </c>
      <c r="V15" s="12">
        <v>21</v>
      </c>
      <c r="W15" s="15">
        <v>0</v>
      </c>
      <c r="X15" s="14">
        <v>21</v>
      </c>
      <c r="Y15" s="17">
        <v>10</v>
      </c>
      <c r="Z15" s="15">
        <v>0</v>
      </c>
      <c r="AA15" s="15">
        <v>0</v>
      </c>
      <c r="AB15" s="14">
        <v>11</v>
      </c>
      <c r="AC15" s="37"/>
      <c r="AD15" s="37"/>
    </row>
    <row r="16" spans="8:30">
      <c r="H16" s="26"/>
      <c r="AC16" s="37"/>
      <c r="AD16" s="37"/>
    </row>
    <row r="17" spans="21:30">
      <c r="U17" s="36"/>
      <c r="AD17" s="37"/>
    </row>
    <row r="18" ht="25.5" spans="21:30">
      <c r="U18" s="36"/>
      <c r="V18" s="21" t="s">
        <v>333</v>
      </c>
      <c r="W18" s="22" t="s">
        <v>334</v>
      </c>
      <c r="X18" s="22" t="s">
        <v>335</v>
      </c>
      <c r="Y18" s="22" t="s">
        <v>336</v>
      </c>
      <c r="Z18" s="22" t="s">
        <v>337</v>
      </c>
      <c r="AA18" s="22" t="s">
        <v>338</v>
      </c>
      <c r="AB18" s="23" t="s">
        <v>339</v>
      </c>
      <c r="AC18" s="35" t="s">
        <v>340</v>
      </c>
      <c r="AD18" s="37"/>
    </row>
    <row r="19" spans="21:30">
      <c r="U19" s="37"/>
      <c r="V19" s="24">
        <f t="shared" ref="V19:AB19" si="2">SUM(V3:V15)</f>
        <v>273</v>
      </c>
      <c r="W19" s="25">
        <f t="shared" si="2"/>
        <v>6</v>
      </c>
      <c r="X19" s="25">
        <f t="shared" si="2"/>
        <v>267</v>
      </c>
      <c r="Y19" s="25">
        <f t="shared" si="2"/>
        <v>79</v>
      </c>
      <c r="Z19" s="25">
        <f t="shared" si="2"/>
        <v>0</v>
      </c>
      <c r="AA19" s="25">
        <f t="shared" si="2"/>
        <v>0</v>
      </c>
      <c r="AB19" s="25">
        <f t="shared" si="2"/>
        <v>188</v>
      </c>
      <c r="AC19" s="28">
        <f>AB19/V19*100</f>
        <v>68.8644688644689</v>
      </c>
      <c r="AD19" s="37"/>
    </row>
    <row r="20" spans="21:30">
      <c r="U20" s="37"/>
      <c r="V20" s="37"/>
      <c r="W20" s="37"/>
      <c r="X20" s="37"/>
      <c r="Y20" s="37"/>
      <c r="Z20" s="37"/>
      <c r="AA20" s="37"/>
      <c r="AB20" s="37"/>
      <c r="AC20" s="37"/>
      <c r="AD20" s="37"/>
    </row>
    <row r="21" spans="21:30">
      <c r="U21" s="16" t="s">
        <v>362</v>
      </c>
      <c r="V21" s="12">
        <v>21</v>
      </c>
      <c r="W21" s="15">
        <v>0</v>
      </c>
      <c r="X21" s="14">
        <v>21</v>
      </c>
      <c r="Y21" s="14">
        <v>0</v>
      </c>
      <c r="Z21" s="15">
        <v>0</v>
      </c>
      <c r="AA21" s="18">
        <v>17</v>
      </c>
      <c r="AB21" s="20">
        <v>4</v>
      </c>
      <c r="AC21" s="39" t="s">
        <v>341</v>
      </c>
      <c r="AD21" s="37"/>
    </row>
    <row r="22" spans="21:30">
      <c r="U22" s="37"/>
      <c r="V22" s="37"/>
      <c r="W22" s="37"/>
      <c r="X22" s="37"/>
      <c r="Y22" s="37"/>
      <c r="Z22" s="37"/>
      <c r="AA22" s="37"/>
      <c r="AB22" s="37"/>
      <c r="AC22" s="37"/>
      <c r="AD22" s="37"/>
    </row>
    <row r="23" spans="21:30">
      <c r="U23" s="37"/>
      <c r="V23" s="37"/>
      <c r="W23" s="37"/>
      <c r="X23" s="37"/>
      <c r="Y23" s="37"/>
      <c r="Z23" s="37"/>
      <c r="AA23" s="37"/>
      <c r="AB23" s="37"/>
      <c r="AC23" s="37"/>
      <c r="AD23" s="37"/>
    </row>
    <row r="24" spans="21:30">
      <c r="U24" s="37"/>
      <c r="V24" s="37"/>
      <c r="W24" s="37"/>
      <c r="X24" s="37"/>
      <c r="Y24" s="37"/>
      <c r="Z24" s="37"/>
      <c r="AA24" s="37"/>
      <c r="AB24" s="37"/>
      <c r="AC24" s="37"/>
      <c r="AD24" s="37"/>
    </row>
    <row r="25" spans="21:30">
      <c r="U25" s="37"/>
      <c r="V25" s="37"/>
      <c r="W25" s="37"/>
      <c r="X25" s="37"/>
      <c r="Y25" s="37"/>
      <c r="Z25" s="37"/>
      <c r="AA25" s="37"/>
      <c r="AB25" s="37"/>
      <c r="AC25" s="37"/>
      <c r="AD25" s="37"/>
    </row>
    <row r="26" spans="21:30">
      <c r="U26" s="37"/>
      <c r="V26" s="37"/>
      <c r="W26" s="37"/>
      <c r="X26" s="37"/>
      <c r="Y26" s="37"/>
      <c r="Z26" s="37"/>
      <c r="AA26" s="37"/>
      <c r="AB26" s="37"/>
      <c r="AC26" s="37"/>
      <c r="AD26" s="37"/>
    </row>
  </sheetData>
  <mergeCells count="3">
    <mergeCell ref="A1:H1"/>
    <mergeCell ref="K1:R1"/>
    <mergeCell ref="U1:A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Consulting Dept.</vt:lpstr>
      <vt:lpstr>Graphs(Q2 &amp; 3)</vt:lpstr>
      <vt:lpstr>Graphs (Q4)</vt:lpstr>
      <vt:lpstr>Q4 Off-boarding</vt:lpstr>
      <vt:lpstr>Q4 Data_AppSec</vt:lpstr>
      <vt:lpstr>Q4 Data_Mobile</vt:lpstr>
      <vt:lpstr>Q4 Data_Infra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Rujuta</dc:creator>
  <cp:lastModifiedBy>WPS_1731914929</cp:lastModifiedBy>
  <dcterms:created xsi:type="dcterms:W3CDTF">2025-01-08T07:54:00Z</dcterms:created>
  <dcterms:modified xsi:type="dcterms:W3CDTF">2026-10-09T09:19:20Z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C44DC835EC9C48AC9BFC72D85D35BB75_13</vt:lpwstr>
  </property>
  <property fmtid="{D5CDD505-2E9C-101B-9397-08002B2CF9AE}" pid="3" name="KSOProductBuildVer">
    <vt:lpwstr>2057-12.2.0.23206</vt:lpwstr>
  </property>
</Properties>
</file>